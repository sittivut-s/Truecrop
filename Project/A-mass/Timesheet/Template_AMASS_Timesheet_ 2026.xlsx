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WIFT\Documents\Truecrop\Project\A-mass\Timesheet\"/>
    </mc:Choice>
  </mc:AlternateContent>
  <xr:revisionPtr revIDLastSave="0" documentId="13_ncr:1_{A03B5B13-8B76-4BEC-86C2-827273145101}" xr6:coauthVersionLast="47" xr6:coauthVersionMax="47" xr10:uidLastSave="{00000000-0000-0000-0000-000000000000}"/>
  <bookViews>
    <workbookView xWindow="0" yWindow="360" windowWidth="29040" windowHeight="17520" tabRatio="692" activeTab="3" xr2:uid="{00000000-000D-0000-FFFF-FFFF00000000}"/>
  </bookViews>
  <sheets>
    <sheet name="Example" sheetId="19" r:id="rId1"/>
    <sheet name="Chart2" sheetId="43" r:id="rId2"/>
    <sheet name="Chart1" sheetId="42" r:id="rId3"/>
    <sheet name="Jan 2026" sheetId="35" r:id="rId4"/>
    <sheet name="Feb 2026" sheetId="36" r:id="rId5"/>
    <sheet name="Mar 2026" sheetId="37" r:id="rId6"/>
    <sheet name="Apr 2026" sheetId="38" r:id="rId7"/>
    <sheet name="May 2026" sheetId="39" r:id="rId8"/>
    <sheet name="Jun 2026" sheetId="10" r:id="rId9"/>
    <sheet name="Jul 2026" sheetId="25" r:id="rId10"/>
    <sheet name="Aug 2026" sheetId="26" r:id="rId11"/>
    <sheet name="Sep 2026" sheetId="27" r:id="rId12"/>
    <sheet name="Oct 2026" sheetId="30" r:id="rId13"/>
    <sheet name="Nov 2026" sheetId="28" r:id="rId14"/>
    <sheet name="Dec 2026" sheetId="29" r:id="rId15"/>
    <sheet name="June 16" sheetId="4" state="hidden" r:id="rId16"/>
    <sheet name="July 16" sheetId="3" state="hidden" r:id="rId17"/>
    <sheet name="August 16" sheetId="5" state="hidden" r:id="rId18"/>
    <sheet name="September 16" sheetId="6" state="hidden" r:id="rId19"/>
    <sheet name="Working Day 2024" sheetId="32" r:id="rId20"/>
    <sheet name="Control" sheetId="2" state="hidden" r:id="rId21"/>
    <sheet name="Sheet1" sheetId="40" r:id="rId22"/>
    <sheet name="Sheet2" sheetId="41" r:id="rId23"/>
  </sheets>
  <calcPr calcId="191029"/>
  <pivotCaches>
    <pivotCache cacheId="0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2" i="35" l="1"/>
  <c r="G11" i="35"/>
  <c r="G9" i="35"/>
  <c r="B9" i="19"/>
  <c r="G13" i="19"/>
  <c r="G40" i="38" a="1"/>
  <c r="G40" i="38" s="1"/>
  <c r="G41" i="37" a="1"/>
  <c r="G41" i="37" s="1"/>
  <c r="B9" i="36"/>
  <c r="B10" i="36" s="1"/>
  <c r="G14" i="35"/>
  <c r="G13" i="35"/>
  <c r="G10" i="35"/>
  <c r="G15" i="35"/>
  <c r="G16" i="35"/>
  <c r="G17" i="35"/>
  <c r="G20" i="35"/>
  <c r="G21" i="35"/>
  <c r="G22" i="35"/>
  <c r="G23" i="35"/>
  <c r="G24" i="35"/>
  <c r="G27" i="35"/>
  <c r="G28" i="35"/>
  <c r="G29" i="35"/>
  <c r="G30" i="35"/>
  <c r="G31" i="35"/>
  <c r="G34" i="35"/>
  <c r="G35" i="35"/>
  <c r="G36" i="35"/>
  <c r="G37" i="35"/>
  <c r="G38" i="35"/>
  <c r="B9" i="35"/>
  <c r="G41" i="35" l="1" a="1"/>
  <c r="G41" i="35" s="1"/>
  <c r="C44" i="35" s="1"/>
  <c r="D44" i="35" s="1"/>
  <c r="D48" i="39" l="1"/>
  <c r="D47" i="39"/>
  <c r="D46" i="39"/>
  <c r="D45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B9" i="39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D47" i="38"/>
  <c r="D46" i="38"/>
  <c r="D45" i="38"/>
  <c r="D44" i="38"/>
  <c r="G38" i="38"/>
  <c r="G37" i="38"/>
  <c r="G36" i="38"/>
  <c r="G35" i="38"/>
  <c r="G32" i="38"/>
  <c r="G31" i="38"/>
  <c r="G30" i="38"/>
  <c r="G29" i="38"/>
  <c r="G28" i="38"/>
  <c r="G27" i="38"/>
  <c r="G26" i="38"/>
  <c r="G25" i="38"/>
  <c r="G24" i="38"/>
  <c r="G18" i="38"/>
  <c r="G17" i="38"/>
  <c r="G16" i="38"/>
  <c r="G15" i="38"/>
  <c r="G14" i="38"/>
  <c r="G11" i="38"/>
  <c r="G10" i="38"/>
  <c r="G9" i="38"/>
  <c r="B9" i="38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D48" i="37"/>
  <c r="D47" i="37"/>
  <c r="D46" i="37"/>
  <c r="D45" i="37"/>
  <c r="G39" i="37"/>
  <c r="G38" i="37"/>
  <c r="G35" i="37"/>
  <c r="G34" i="37"/>
  <c r="G33" i="37"/>
  <c r="G32" i="37"/>
  <c r="G31" i="37"/>
  <c r="G28" i="37"/>
  <c r="G27" i="37"/>
  <c r="G26" i="37"/>
  <c r="G25" i="37"/>
  <c r="G24" i="37"/>
  <c r="G21" i="37"/>
  <c r="G20" i="37"/>
  <c r="G19" i="37"/>
  <c r="G18" i="37"/>
  <c r="G17" i="37"/>
  <c r="G14" i="37"/>
  <c r="G13" i="37"/>
  <c r="G12" i="37"/>
  <c r="G10" i="37"/>
  <c r="G9" i="37"/>
  <c r="B9" i="37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D45" i="36"/>
  <c r="D44" i="36"/>
  <c r="D43" i="36"/>
  <c r="D42" i="36"/>
  <c r="G35" i="36"/>
  <c r="G34" i="36"/>
  <c r="G33" i="36"/>
  <c r="G32" i="36"/>
  <c r="G31" i="36"/>
  <c r="G28" i="36"/>
  <c r="G27" i="36"/>
  <c r="G26" i="36"/>
  <c r="G25" i="36"/>
  <c r="G24" i="36"/>
  <c r="G21" i="36"/>
  <c r="G20" i="36"/>
  <c r="G19" i="36"/>
  <c r="G18" i="36"/>
  <c r="G38" i="36" s="1" a="1"/>
  <c r="G38" i="36" s="1"/>
  <c r="G17" i="36"/>
  <c r="G14" i="36"/>
  <c r="G13" i="36"/>
  <c r="G12" i="36"/>
  <c r="G11" i="36"/>
  <c r="G10" i="36"/>
  <c r="B11" i="36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10" i="35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D48" i="35"/>
  <c r="D47" i="35"/>
  <c r="D46" i="35"/>
  <c r="D45" i="35"/>
  <c r="B15" i="32"/>
  <c r="G41" i="39" l="1" a="1"/>
  <c r="G41" i="39" s="1"/>
  <c r="C44" i="39" s="1"/>
  <c r="D44" i="39" s="1"/>
  <c r="D49" i="39" s="1"/>
  <c r="C41" i="36"/>
  <c r="C46" i="36" s="1"/>
  <c r="C43" i="38"/>
  <c r="D43" i="38" s="1"/>
  <c r="D48" i="38" s="1"/>
  <c r="C44" i="37"/>
  <c r="C49" i="37" s="1"/>
  <c r="D41" i="36"/>
  <c r="D46" i="36" s="1"/>
  <c r="C49" i="35"/>
  <c r="D49" i="35"/>
  <c r="D48" i="27"/>
  <c r="D47" i="27"/>
  <c r="D46" i="27"/>
  <c r="D45" i="27"/>
  <c r="G12" i="30"/>
  <c r="G11" i="30"/>
  <c r="G10" i="30"/>
  <c r="D48" i="29"/>
  <c r="D47" i="29"/>
  <c r="D46" i="29"/>
  <c r="D45" i="29"/>
  <c r="D48" i="28"/>
  <c r="D47" i="28"/>
  <c r="D46" i="28"/>
  <c r="D45" i="28"/>
  <c r="D48" i="30"/>
  <c r="D47" i="30"/>
  <c r="D46" i="30"/>
  <c r="D45" i="30"/>
  <c r="D48" i="26"/>
  <c r="D47" i="26"/>
  <c r="D46" i="26"/>
  <c r="D45" i="26"/>
  <c r="D48" i="25"/>
  <c r="D47" i="25"/>
  <c r="D46" i="25"/>
  <c r="D45" i="25"/>
  <c r="D47" i="10"/>
  <c r="D46" i="10"/>
  <c r="D45" i="10"/>
  <c r="D44" i="10"/>
  <c r="C49" i="39" l="1"/>
  <c r="C48" i="38"/>
  <c r="D44" i="37"/>
  <c r="D49" i="37" s="1"/>
  <c r="G32" i="10" l="1"/>
  <c r="G33" i="10"/>
  <c r="G34" i="1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9" i="30"/>
  <c r="B9" i="30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B9" i="29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B9" i="28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B9" i="27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G12" i="19"/>
  <c r="G11" i="19"/>
  <c r="G10" i="19"/>
  <c r="G9" i="19"/>
  <c r="B10" i="19"/>
  <c r="B11" i="19" s="1"/>
  <c r="B12" i="19" s="1"/>
  <c r="B13" i="19" s="1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B9" i="26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G9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B9" i="25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G9" i="10"/>
  <c r="G10" i="10"/>
  <c r="G26" i="10"/>
  <c r="G27" i="10"/>
  <c r="G28" i="10"/>
  <c r="G29" i="10"/>
  <c r="G30" i="10"/>
  <c r="G31" i="10"/>
  <c r="G35" i="10"/>
  <c r="G36" i="10"/>
  <c r="G37" i="10"/>
  <c r="G38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41" i="29" l="1" a="1"/>
  <c r="G41" i="29" s="1"/>
  <c r="C44" i="29" s="1"/>
  <c r="D44" i="29" s="1"/>
  <c r="D49" i="29" s="1"/>
  <c r="G41" i="30" a="1"/>
  <c r="G41" i="30" s="1"/>
  <c r="C44" i="30" s="1"/>
  <c r="D44" i="30" s="1"/>
  <c r="D49" i="30" s="1"/>
  <c r="G41" i="27" a="1"/>
  <c r="G41" i="27" s="1"/>
  <c r="C44" i="27" s="1"/>
  <c r="G41" i="26" a="1"/>
  <c r="G41" i="26" s="1"/>
  <c r="C44" i="26" s="1"/>
  <c r="C49" i="26" s="1"/>
  <c r="G41" i="28" a="1"/>
  <c r="G41" i="28" s="1"/>
  <c r="C44" i="28" s="1"/>
  <c r="G41" i="25" a="1"/>
  <c r="G41" i="25" s="1"/>
  <c r="C44" i="25" s="1"/>
  <c r="G40" i="10" a="1"/>
  <c r="G40" i="10" s="1"/>
  <c r="C43" i="10" s="1"/>
  <c r="C48" i="10" s="1"/>
  <c r="B9" i="10"/>
  <c r="C49" i="27" l="1"/>
  <c r="D44" i="27"/>
  <c r="D49" i="27" s="1"/>
  <c r="C49" i="29"/>
  <c r="C49" i="28"/>
  <c r="D44" i="28"/>
  <c r="D49" i="28" s="1"/>
  <c r="C49" i="30"/>
  <c r="D44" i="26"/>
  <c r="D49" i="26" s="1"/>
  <c r="C49" i="25"/>
  <c r="D44" i="25"/>
  <c r="D49" i="25" s="1"/>
  <c r="D43" i="10"/>
  <c r="D48" i="10" s="1"/>
  <c r="B10" i="10"/>
  <c r="B11" i="10" s="1"/>
  <c r="B12" i="10" s="1"/>
  <c r="B13" i="10" s="1"/>
  <c r="B14" i="10" s="1"/>
  <c r="B15" i="10" s="1"/>
  <c r="B16" i="10" s="1"/>
  <c r="B17" i="10" s="1"/>
  <c r="B18" i="10" l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J42" i="6"/>
  <c r="J44" i="6"/>
  <c r="L44" i="6" s="1"/>
  <c r="K42" i="6"/>
  <c r="K44" i="6"/>
  <c r="L11" i="6"/>
  <c r="L42" i="6" s="1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C11" i="6"/>
  <c r="C11" i="5"/>
  <c r="J42" i="5"/>
  <c r="J44" i="5" s="1"/>
  <c r="L44" i="5" s="1"/>
  <c r="K42" i="5"/>
  <c r="K44" i="5"/>
  <c r="L11" i="5"/>
  <c r="L12" i="5"/>
  <c r="L42" i="5" s="1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J42" i="3"/>
  <c r="J44" i="3"/>
  <c r="L44" i="3" s="1"/>
  <c r="K42" i="3"/>
  <c r="K44" i="3"/>
  <c r="L11" i="3"/>
  <c r="L42" i="3" s="1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C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<sst xmlns="http://schemas.openxmlformats.org/spreadsheetml/2006/main" count="1027" uniqueCount="88">
  <si>
    <t>Time Sheet</t>
  </si>
  <si>
    <t>Period start date:</t>
  </si>
  <si>
    <t>Period end date:</t>
  </si>
  <si>
    <t>Regular Hours</t>
  </si>
  <si>
    <t>Overtime Hours</t>
  </si>
  <si>
    <t>Total</t>
  </si>
  <si>
    <t xml:space="preserve">Sathorn Square Tower, 37th Floor, </t>
  </si>
  <si>
    <t xml:space="preserve"> Bangrak, Bangkok 10500 </t>
  </si>
  <si>
    <t>98 North Sathorn Road, Silom,</t>
  </si>
  <si>
    <t>Date</t>
  </si>
  <si>
    <t>Type</t>
  </si>
  <si>
    <t>Public Holiday</t>
  </si>
  <si>
    <t>Weekend</t>
  </si>
  <si>
    <t>Annual Leave</t>
  </si>
  <si>
    <t>Billable</t>
  </si>
  <si>
    <t>Sick Leave</t>
  </si>
  <si>
    <t>Personal Leave</t>
  </si>
  <si>
    <t>Other Leave</t>
  </si>
  <si>
    <t>Total hours</t>
  </si>
  <si>
    <t>Rate per hour</t>
  </si>
  <si>
    <t>Total pay</t>
  </si>
  <si>
    <t>Employee signature</t>
  </si>
  <si>
    <t>Client Name:</t>
  </si>
  <si>
    <t>Employee Name:</t>
  </si>
  <si>
    <t>Account Manager:</t>
  </si>
  <si>
    <t>Client Phone:</t>
  </si>
  <si>
    <t>Client signature</t>
  </si>
  <si>
    <t>Time in</t>
  </si>
  <si>
    <t>Time out</t>
  </si>
  <si>
    <t>Description</t>
  </si>
  <si>
    <t>Billable Hours</t>
  </si>
  <si>
    <t>31-06-15</t>
  </si>
  <si>
    <t>Work on XXXXX</t>
  </si>
  <si>
    <t>31-07-16</t>
  </si>
  <si>
    <t>31-08-16</t>
  </si>
  <si>
    <t>30-09-16</t>
  </si>
  <si>
    <t>Thanachart Bank Public Co., Ltd</t>
  </si>
  <si>
    <t>Date:</t>
  </si>
  <si>
    <t>Month/Year:</t>
  </si>
  <si>
    <t>Consultant Name:</t>
  </si>
  <si>
    <t>Position:</t>
  </si>
  <si>
    <t>Company:</t>
  </si>
  <si>
    <t>Summary</t>
  </si>
  <si>
    <t>Working Day - จำนวนวันทำงาน</t>
  </si>
  <si>
    <t>Other leave - ลาอื่นๆ</t>
  </si>
  <si>
    <t>Sick Leave - ลาป่วย</t>
  </si>
  <si>
    <t>Amass Corporation (Thailand) Co., Ltd.</t>
  </si>
  <si>
    <t>Working Hours</t>
  </si>
  <si>
    <t>....................................................</t>
  </si>
  <si>
    <t>Verified By:</t>
  </si>
  <si>
    <t>Prepared By:</t>
  </si>
  <si>
    <t>Approved By:</t>
  </si>
  <si>
    <t>......................................................</t>
  </si>
  <si>
    <t>Personal Leave - ลากิจ</t>
  </si>
  <si>
    <t>Customer:</t>
  </si>
  <si>
    <t xml:space="preserve">Test and Developer	</t>
  </si>
  <si>
    <t>Name of Customer</t>
  </si>
  <si>
    <t>Name Sername</t>
  </si>
  <si>
    <t>Developer</t>
  </si>
  <si>
    <t xml:space="preserve">Grand Total </t>
  </si>
  <si>
    <t>Total days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</si>
  <si>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</si>
  <si>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</si>
  <si>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</si>
  <si>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</si>
  <si>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</si>
  <si>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</si>
  <si>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</si>
  <si>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</si>
  <si>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</si>
  <si>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</si>
  <si>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</si>
  <si>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</si>
  <si>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</si>
  <si>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Working Day</t>
  </si>
  <si>
    <t>...................................................</t>
  </si>
  <si>
    <t>Annual leave - ลาหยุด</t>
  </si>
  <si>
    <t>Outsource Name:</t>
  </si>
  <si>
    <t>IMPORTANT DETAIL</t>
  </si>
  <si>
    <t>In order to insert a suggestion that uses a PivotTable or formula, your data was organised in columns with a single header row.</t>
  </si>
  <si>
    <t>Field1</t>
  </si>
  <si>
    <t>Count of Field1</t>
  </si>
  <si>
    <t>Grand Total</t>
  </si>
  <si>
    <t>Year 2026</t>
  </si>
  <si>
    <t>True Coporation</t>
  </si>
  <si>
    <t>Sittivut Sainamyen</t>
  </si>
  <si>
    <t>System Analyst</t>
  </si>
  <si>
    <t xml:space="preserve">Setup laptop , enviorment VPN , Explain scope of work billing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</si>
</sst>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d\-mmm\-yy;@"/>
    <numFmt numFmtId="166" formatCode="_-[$฿-41E]* #,##0.00_-;\-[$฿-41E]* #,##0.00_-;_-[$฿-41E]* &quot;-&quot;??_-;_-@_-"/>
    <numFmt numFmtId="167" formatCode="[$฿-41E]#,##0.00;\-[$฿-41E]#,##0.00"/>
    <numFmt numFmtId="168" formatCode="[$-1000409]h:mm\ AM/PM;@"/>
    <numFmt numFmtId="169" formatCode="[$-409]d\-mmm\-yyyy;@"/>
    <numFmt numFmtId="170" formatCode="[$-409]mmmm\-yy;@"/>
  </numFmts>
  <fonts count="33" x14ac:knownFonts="1">
    <font>
      <sz val="11"/>
      <color theme="1"/>
      <name val="Calibri"/>
      <family val="2"/>
      <scheme val="minor"/>
    </font>
    <font>
      <sz val="8"/>
      <name val="Century Gothic"/>
      <family val="2"/>
    </font>
    <font>
      <b/>
      <sz val="8"/>
      <name val="Century Gothic"/>
      <family val="2"/>
    </font>
    <font>
      <sz val="7"/>
      <name val="Century Gothic"/>
      <family val="2"/>
    </font>
    <font>
      <b/>
      <sz val="7"/>
      <name val="Century Gothic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7"/>
      <color theme="1"/>
      <name val="Century Gothic"/>
      <family val="2"/>
    </font>
    <font>
      <b/>
      <sz val="8"/>
      <color theme="0" tint="-4.9989318521683403E-2"/>
      <name val="Century Gothic"/>
      <family val="2"/>
    </font>
    <font>
      <sz val="8"/>
      <color theme="0" tint="-0.499984740745262"/>
      <name val="Century Gothic"/>
      <family val="2"/>
    </font>
    <font>
      <b/>
      <sz val="18"/>
      <color theme="0" tint="-0.499984740745262"/>
      <name val="Century Gothic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808080"/>
      <name val="Century Gothic"/>
      <family val="2"/>
    </font>
    <font>
      <sz val="8"/>
      <color rgb="FF808080"/>
      <name val="Century Gothic"/>
      <family val="2"/>
    </font>
    <font>
      <sz val="7"/>
      <color rgb="FF000000"/>
      <name val="Century Gothic"/>
      <family val="2"/>
    </font>
    <font>
      <b/>
      <sz val="8"/>
      <color rgb="FFF2F2F2"/>
      <name val="Century Gothic"/>
      <family val="2"/>
    </font>
    <font>
      <sz val="11"/>
      <color rgb="FF000000"/>
      <name val="Century Gothic"/>
      <family val="2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4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65">
    <xf numFmtId="0" fontId="0" fillId="0" borderId="0" xfId="0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164" fontId="2" fillId="3" borderId="1" xfId="1" applyNumberFormat="1" applyFont="1" applyFill="1" applyBorder="1" applyAlignment="1">
      <alignment horizontal="right" vertical="center" indent="1"/>
    </xf>
    <xf numFmtId="0" fontId="8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vertical="center"/>
    </xf>
    <xf numFmtId="164" fontId="1" fillId="5" borderId="1" xfId="1" applyNumberFormat="1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167" fontId="2" fillId="4" borderId="1" xfId="1" applyNumberFormat="1" applyFont="1" applyFill="1" applyBorder="1" applyAlignment="1">
      <alignment horizontal="right" vertical="center" indent="1"/>
    </xf>
    <xf numFmtId="168" fontId="8" fillId="0" borderId="1" xfId="0" applyNumberFormat="1" applyFont="1" applyBorder="1"/>
    <xf numFmtId="168" fontId="8" fillId="5" borderId="1" xfId="0" applyNumberFormat="1" applyFont="1" applyFill="1" applyBorder="1"/>
    <xf numFmtId="168" fontId="8" fillId="0" borderId="1" xfId="0" applyNumberFormat="1" applyFont="1" applyBorder="1" applyAlignment="1">
      <alignment horizontal="right"/>
    </xf>
    <xf numFmtId="2" fontId="3" fillId="5" borderId="1" xfId="0" applyNumberFormat="1" applyFont="1" applyFill="1" applyBorder="1"/>
    <xf numFmtId="2" fontId="8" fillId="0" borderId="1" xfId="0" applyNumberFormat="1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/>
    <xf numFmtId="0" fontId="16" fillId="0" borderId="0" xfId="0" applyFont="1" applyAlignment="1">
      <alignment vertical="center"/>
    </xf>
    <xf numFmtId="0" fontId="4" fillId="7" borderId="8" xfId="0" applyFont="1" applyFill="1" applyBorder="1" applyAlignment="1">
      <alignment horizontal="center" vertical="center" wrapText="1"/>
    </xf>
    <xf numFmtId="0" fontId="17" fillId="0" borderId="0" xfId="0" applyFont="1"/>
    <xf numFmtId="0" fontId="4" fillId="7" borderId="2" xfId="0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8" fontId="17" fillId="0" borderId="8" xfId="0" applyNumberFormat="1" applyFont="1" applyBorder="1" applyAlignment="1">
      <alignment horizontal="right"/>
    </xf>
    <xf numFmtId="168" fontId="17" fillId="8" borderId="8" xfId="0" applyNumberFormat="1" applyFont="1" applyFill="1" applyBorder="1"/>
    <xf numFmtId="2" fontId="3" fillId="8" borderId="8" xfId="0" applyNumberFormat="1" applyFont="1" applyFill="1" applyBorder="1"/>
    <xf numFmtId="2" fontId="17" fillId="0" borderId="8" xfId="0" applyNumberFormat="1" applyFont="1" applyBorder="1"/>
    <xf numFmtId="168" fontId="17" fillId="0" borderId="8" xfId="0" applyNumberFormat="1" applyFont="1" applyBorder="1"/>
    <xf numFmtId="2" fontId="3" fillId="8" borderId="8" xfId="0" applyNumberFormat="1" applyFont="1" applyFill="1" applyBorder="1" applyAlignment="1">
      <alignment vertical="center"/>
    </xf>
    <xf numFmtId="2" fontId="18" fillId="9" borderId="8" xfId="0" applyNumberFormat="1" applyFont="1" applyFill="1" applyBorder="1" applyAlignment="1">
      <alignment vertical="center"/>
    </xf>
    <xf numFmtId="164" fontId="1" fillId="8" borderId="8" xfId="0" applyNumberFormat="1" applyFont="1" applyFill="1" applyBorder="1" applyAlignment="1">
      <alignment vertical="center"/>
    </xf>
    <xf numFmtId="164" fontId="2" fillId="7" borderId="8" xfId="0" applyNumberFormat="1" applyFont="1" applyFill="1" applyBorder="1" applyAlignment="1">
      <alignment horizontal="right" vertical="center" indent="1"/>
    </xf>
    <xf numFmtId="167" fontId="2" fillId="6" borderId="8" xfId="0" applyNumberFormat="1" applyFont="1" applyFill="1" applyBorder="1" applyAlignment="1">
      <alignment horizontal="right" vertical="center" indent="1"/>
    </xf>
    <xf numFmtId="0" fontId="19" fillId="0" borderId="0" xfId="0" applyFont="1"/>
    <xf numFmtId="170" fontId="21" fillId="10" borderId="1" xfId="0" applyNumberFormat="1" applyFont="1" applyFill="1" applyBorder="1" applyAlignment="1" applyProtection="1">
      <alignment vertical="center"/>
      <protection locked="0"/>
    </xf>
    <xf numFmtId="170" fontId="21" fillId="10" borderId="9" xfId="0" applyNumberFormat="1" applyFont="1" applyFill="1" applyBorder="1" applyAlignment="1" applyProtection="1">
      <alignment vertical="center"/>
      <protection locked="0"/>
    </xf>
    <xf numFmtId="170" fontId="21" fillId="10" borderId="4" xfId="0" applyNumberFormat="1" applyFont="1" applyFill="1" applyBorder="1" applyAlignment="1" applyProtection="1">
      <alignment vertical="center"/>
      <protection locked="0"/>
    </xf>
    <xf numFmtId="0" fontId="22" fillId="0" borderId="0" xfId="0" applyFont="1"/>
    <xf numFmtId="0" fontId="21" fillId="10" borderId="1" xfId="0" applyFont="1" applyFill="1" applyBorder="1" applyAlignment="1" applyProtection="1">
      <alignment horizontal="left"/>
      <protection locked="0"/>
    </xf>
    <xf numFmtId="0" fontId="23" fillId="10" borderId="9" xfId="0" applyFont="1" applyFill="1" applyBorder="1" applyProtection="1">
      <protection locked="0"/>
    </xf>
    <xf numFmtId="0" fontId="21" fillId="10" borderId="1" xfId="0" applyFont="1" applyFill="1" applyBorder="1" applyAlignment="1">
      <alignment horizontal="center" vertical="center"/>
    </xf>
    <xf numFmtId="165" fontId="24" fillId="10" borderId="1" xfId="0" applyNumberFormat="1" applyFont="1" applyFill="1" applyBorder="1" applyAlignment="1">
      <alignment horizontal="center" vertical="center"/>
    </xf>
    <xf numFmtId="168" fontId="22" fillId="10" borderId="1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2" fontId="22" fillId="10" borderId="1" xfId="0" applyNumberFormat="1" applyFont="1" applyFill="1" applyBorder="1" applyAlignment="1">
      <alignment horizontal="center"/>
    </xf>
    <xf numFmtId="0" fontId="22" fillId="0" borderId="0" xfId="0" applyFont="1" applyAlignment="1">
      <alignment horizontal="right"/>
    </xf>
    <xf numFmtId="170" fontId="21" fillId="10" borderId="4" xfId="0" applyNumberFormat="1" applyFont="1" applyFill="1" applyBorder="1" applyAlignment="1" applyProtection="1">
      <alignment horizontal="center" vertical="center"/>
      <protection locked="0"/>
    </xf>
    <xf numFmtId="170" fontId="21" fillId="10" borderId="10" xfId="0" applyNumberFormat="1" applyFont="1" applyFill="1" applyBorder="1" applyAlignment="1" applyProtection="1">
      <alignment horizontal="center" vertical="center"/>
      <protection locked="0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43" fontId="23" fillId="11" borderId="1" xfId="30" applyFont="1" applyFill="1" applyBorder="1"/>
    <xf numFmtId="43" fontId="23" fillId="11" borderId="4" xfId="3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 vertical="center" wrapText="1"/>
    </xf>
    <xf numFmtId="170" fontId="25" fillId="10" borderId="9" xfId="0" applyNumberFormat="1" applyFont="1" applyFill="1" applyBorder="1" applyAlignment="1" applyProtection="1">
      <alignment vertical="center"/>
      <protection locked="0"/>
    </xf>
    <xf numFmtId="0" fontId="25" fillId="10" borderId="9" xfId="0" applyFont="1" applyFill="1" applyBorder="1" applyProtection="1">
      <protection locked="0"/>
    </xf>
    <xf numFmtId="0" fontId="21" fillId="11" borderId="9" xfId="0" applyFont="1" applyFill="1" applyBorder="1" applyAlignment="1">
      <alignment horizontal="center" vertical="center" wrapText="1"/>
    </xf>
    <xf numFmtId="43" fontId="23" fillId="10" borderId="1" xfId="30" applyFont="1" applyFill="1" applyBorder="1" applyAlignment="1">
      <alignment horizontal="right" vertical="center"/>
    </xf>
    <xf numFmtId="43" fontId="22" fillId="10" borderId="1" xfId="30" applyFont="1" applyFill="1" applyBorder="1" applyAlignment="1">
      <alignment horizontal="right" vertical="center"/>
    </xf>
    <xf numFmtId="0" fontId="26" fillId="0" borderId="0" xfId="0" applyFont="1"/>
    <xf numFmtId="0" fontId="0" fillId="0" borderId="0" xfId="0" applyAlignment="1">
      <alignment horizontal="center"/>
    </xf>
    <xf numFmtId="0" fontId="28" fillId="0" borderId="1" xfId="0" applyFont="1" applyBorder="1" applyAlignment="1">
      <alignment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/>
    </xf>
    <xf numFmtId="43" fontId="23" fillId="12" borderId="1" xfId="0" applyNumberFormat="1" applyFont="1" applyFill="1" applyBorder="1" applyAlignment="1">
      <alignment horizontal="center"/>
    </xf>
    <xf numFmtId="0" fontId="30" fillId="0" borderId="0" xfId="0" applyFont="1" applyAlignment="1">
      <alignment horizontal="right"/>
    </xf>
    <xf numFmtId="0" fontId="31" fillId="0" borderId="0" xfId="0" applyFont="1"/>
    <xf numFmtId="0" fontId="32" fillId="0" borderId="0" xfId="0" applyFont="1"/>
    <xf numFmtId="170" fontId="0" fillId="0" borderId="0" xfId="0" applyNumberFormat="1"/>
    <xf numFmtId="0" fontId="0" fillId="0" borderId="0" xfId="0" pivotButton="1"/>
    <xf numFmtId="0" fontId="22" fillId="10" borderId="9" xfId="0" applyFont="1" applyFill="1" applyBorder="1" applyAlignment="1">
      <alignment horizontal="center"/>
    </xf>
    <xf numFmtId="0" fontId="22" fillId="10" borderId="10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2" fillId="0" borderId="1" xfId="0" applyFont="1" applyBorder="1" applyAlignment="1" applyProtection="1">
      <alignment horizontal="center"/>
      <protection locked="0"/>
    </xf>
    <xf numFmtId="170" fontId="21" fillId="10" borderId="9" xfId="0" applyNumberFormat="1" applyFont="1" applyFill="1" applyBorder="1" applyAlignment="1" applyProtection="1">
      <alignment horizontal="left" vertical="center"/>
      <protection locked="0"/>
    </xf>
    <xf numFmtId="170" fontId="21" fillId="10" borderId="4" xfId="0" applyNumberFormat="1" applyFont="1" applyFill="1" applyBorder="1" applyAlignment="1" applyProtection="1">
      <alignment horizontal="left" vertical="center"/>
      <protection locked="0"/>
    </xf>
    <xf numFmtId="0" fontId="21" fillId="11" borderId="1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left" vertical="center"/>
    </xf>
    <xf numFmtId="0" fontId="23" fillId="12" borderId="10" xfId="0" applyFont="1" applyFill="1" applyBorder="1" applyAlignment="1">
      <alignment horizontal="left" vertical="center"/>
    </xf>
    <xf numFmtId="0" fontId="23" fillId="11" borderId="9" xfId="0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2" xfId="0" applyFont="1" applyBorder="1" applyAlignment="1">
      <alignment horizontal="left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66" fontId="2" fillId="6" borderId="9" xfId="0" applyNumberFormat="1" applyFont="1" applyFill="1" applyBorder="1" applyAlignment="1">
      <alignment horizontal="center" vertical="center"/>
    </xf>
    <xf numFmtId="166" fontId="2" fillId="6" borderId="4" xfId="0" applyNumberFormat="1" applyFont="1" applyFill="1" applyBorder="1" applyAlignment="1">
      <alignment horizontal="center" vertical="center"/>
    </xf>
    <xf numFmtId="166" fontId="2" fillId="6" borderId="14" xfId="0" applyNumberFormat="1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2" fontId="18" fillId="9" borderId="9" xfId="0" applyNumberFormat="1" applyFont="1" applyFill="1" applyBorder="1" applyAlignment="1">
      <alignment horizontal="center" vertical="center"/>
    </xf>
    <xf numFmtId="2" fontId="18" fillId="9" borderId="4" xfId="0" applyNumberFormat="1" applyFont="1" applyFill="1" applyBorder="1" applyAlignment="1">
      <alignment horizontal="center" vertical="center"/>
    </xf>
    <xf numFmtId="2" fontId="18" fillId="9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4" fillId="7" borderId="9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165" fontId="1" fillId="0" borderId="3" xfId="0" applyNumberFormat="1" applyFont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6" fontId="2" fillId="4" borderId="9" xfId="1" applyNumberFormat="1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166" fontId="2" fillId="4" borderId="10" xfId="1" applyNumberFormat="1" applyFont="1" applyFill="1" applyBorder="1" applyAlignment="1">
      <alignment horizontal="center" vertical="center"/>
    </xf>
    <xf numFmtId="164" fontId="1" fillId="0" borderId="9" xfId="1" applyNumberFormat="1" applyFont="1" applyFill="1" applyBorder="1" applyAlignment="1">
      <alignment horizontal="center" vertical="center"/>
    </xf>
    <xf numFmtId="164" fontId="1" fillId="0" borderId="4" xfId="1" applyNumberFormat="1" applyFont="1" applyFill="1" applyBorder="1" applyAlignment="1">
      <alignment horizontal="center" vertical="center"/>
    </xf>
    <xf numFmtId="164" fontId="1" fillId="0" borderId="10" xfId="1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2" fontId="9" fillId="2" borderId="9" xfId="0" applyNumberFormat="1" applyFont="1" applyFill="1" applyBorder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169" fontId="1" fillId="4" borderId="4" xfId="0" applyNumberFormat="1" applyFont="1" applyFill="1" applyBorder="1" applyAlignment="1">
      <alignment horizontal="center" vertical="center"/>
    </xf>
  </cellXfs>
  <cellStyles count="31">
    <cellStyle name="Comma" xfId="30" builtinId="3"/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</cellStyles>
  <dxfs count="84"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styles" Target="styles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9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4.xml"/><Relationship Id="rId20" Type="http://schemas.openxmlformats.org/officeDocument/2006/relationships/worksheet" Target="worksheets/sheet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28" Type="http://schemas.openxmlformats.org/officeDocument/2006/relationships/sheetMetadata" Target="metadata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2026'!$C$7</c:f>
              <c:strCache>
                <c:ptCount val="1"/>
                <c:pt idx="0">
                  <c:v>Regular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2026'!$C$8:$C$39</c:f>
              <c:numCache>
                <c:formatCode>[$-1000409]h:mm\ AM/PM;@</c:formatCode>
                <c:ptCount val="32"/>
                <c:pt idx="0" formatCode="General">
                  <c:v>0</c:v>
                </c:pt>
                <c:pt idx="6">
                  <c:v>0.375</c:v>
                </c:pt>
                <c:pt idx="7">
                  <c:v>0.375</c:v>
                </c:pt>
                <c:pt idx="8">
                  <c:v>0.375</c:v>
                </c:pt>
                <c:pt idx="9">
                  <c:v>0.375</c:v>
                </c:pt>
                <c:pt idx="12">
                  <c:v>0.375</c:v>
                </c:pt>
                <c:pt idx="13">
                  <c:v>0.375</c:v>
                </c:pt>
                <c:pt idx="14">
                  <c:v>0.375</c:v>
                </c:pt>
                <c:pt idx="15">
                  <c:v>0.375</c:v>
                </c:pt>
                <c:pt idx="16">
                  <c:v>0.375</c:v>
                </c:pt>
                <c:pt idx="19">
                  <c:v>0.375</c:v>
                </c:pt>
                <c:pt idx="20">
                  <c:v>0.375</c:v>
                </c:pt>
                <c:pt idx="21">
                  <c:v>0.375</c:v>
                </c:pt>
                <c:pt idx="22">
                  <c:v>0.375</c:v>
                </c:pt>
                <c:pt idx="23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0.375</c:v>
                </c:pt>
                <c:pt idx="30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F-4295-AC22-BE50A14C53C6}"/>
            </c:ext>
          </c:extLst>
        </c:ser>
        <c:ser>
          <c:idx val="1"/>
          <c:order val="1"/>
          <c:tx>
            <c:strRef>
              <c:f>'Jan 2026'!$D$7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2026'!$D$8:$D$39</c:f>
              <c:numCache>
                <c:formatCode>[$-1000409]h:mm\ AM/PM;@</c:formatCode>
                <c:ptCount val="32"/>
                <c:pt idx="0" formatCode="General">
                  <c:v>0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F-4295-AC22-BE50A14C53C6}"/>
            </c:ext>
          </c:extLst>
        </c:ser>
        <c:ser>
          <c:idx val="2"/>
          <c:order val="2"/>
          <c:tx>
            <c:strRef>
              <c:f>'Jan 2026'!$E$7</c:f>
              <c:strCache>
                <c:ptCount val="1"/>
                <c:pt idx="0">
                  <c:v>Description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2026'!$E$8:$E$39</c:f>
              <c:numCache>
                <c:formatCode>General</c:formatCode>
                <c:ptCount val="3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F-4295-AC22-BE50A14C53C6}"/>
            </c:ext>
          </c:extLst>
        </c:ser>
        <c:ser>
          <c:idx val="3"/>
          <c:order val="3"/>
          <c:tx>
            <c:strRef>
              <c:f>'Jan 2026'!$F$7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2026'!$F$8:$F$39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3-7F2F-4295-AC22-BE50A14C53C6}"/>
            </c:ext>
          </c:extLst>
        </c:ser>
        <c:ser>
          <c:idx val="4"/>
          <c:order val="4"/>
          <c:tx>
            <c:strRef>
              <c:f>'Jan 2026'!$G$7</c:f>
              <c:strCache>
                <c:ptCount val="1"/>
                <c:pt idx="0">
                  <c:v>Working Hours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2026'!$G$8:$G$39</c:f>
              <c:numCache>
                <c:formatCode>0.00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F-4295-AC22-BE50A14C53C6}"/>
            </c:ext>
          </c:extLst>
        </c:ser>
        <c:ser>
          <c:idx val="5"/>
          <c:order val="5"/>
          <c:tx>
            <c:strRef>
              <c:f>'Jan 2026'!$H$7</c:f>
              <c:strCache>
                <c:ptCount val="1"/>
                <c:pt idx="0">
                  <c:v>Overtime Hours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2026'!$H$8:$H$39</c:f>
              <c:numCache>
                <c:formatCode>0.00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5-7F2F-4295-AC22-BE50A14C5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7732511"/>
        <c:axId val="1827438831"/>
      </c:barChart>
      <c:catAx>
        <c:axId val="161773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438831"/>
        <c:crosses val="autoZero"/>
        <c:auto val="1"/>
        <c:lblAlgn val="ctr"/>
        <c:lblOffset val="100"/>
        <c:noMultiLvlLbl val="0"/>
      </c:catAx>
      <c:valAx>
        <c:axId val="182743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73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2026'!$C$7</c:f>
              <c:strCache>
                <c:ptCount val="1"/>
                <c:pt idx="0">
                  <c:v>Regular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2026'!$C$8:$C$39</c:f>
              <c:numCache>
                <c:formatCode>[$-1000409]h:mm\ AM/PM;@</c:formatCode>
                <c:ptCount val="32"/>
                <c:pt idx="0" formatCode="General">
                  <c:v>0</c:v>
                </c:pt>
                <c:pt idx="6">
                  <c:v>0.375</c:v>
                </c:pt>
                <c:pt idx="7">
                  <c:v>0.375</c:v>
                </c:pt>
                <c:pt idx="8">
                  <c:v>0.375</c:v>
                </c:pt>
                <c:pt idx="9">
                  <c:v>0.375</c:v>
                </c:pt>
                <c:pt idx="12">
                  <c:v>0.375</c:v>
                </c:pt>
                <c:pt idx="13">
                  <c:v>0.375</c:v>
                </c:pt>
                <c:pt idx="14">
                  <c:v>0.375</c:v>
                </c:pt>
                <c:pt idx="15">
                  <c:v>0.375</c:v>
                </c:pt>
                <c:pt idx="16">
                  <c:v>0.375</c:v>
                </c:pt>
                <c:pt idx="19">
                  <c:v>0.375</c:v>
                </c:pt>
                <c:pt idx="20">
                  <c:v>0.375</c:v>
                </c:pt>
                <c:pt idx="21">
                  <c:v>0.375</c:v>
                </c:pt>
                <c:pt idx="22">
                  <c:v>0.375</c:v>
                </c:pt>
                <c:pt idx="23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0.375</c:v>
                </c:pt>
                <c:pt idx="30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B-46D5-958D-17BE61E0A984}"/>
            </c:ext>
          </c:extLst>
        </c:ser>
        <c:ser>
          <c:idx val="1"/>
          <c:order val="1"/>
          <c:tx>
            <c:strRef>
              <c:f>'Jan 2026'!$D$7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2026'!$D$8:$D$39</c:f>
              <c:numCache>
                <c:formatCode>[$-1000409]h:mm\ AM/PM;@</c:formatCode>
                <c:ptCount val="32"/>
                <c:pt idx="0" formatCode="General">
                  <c:v>0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B-46D5-958D-17BE61E0A984}"/>
            </c:ext>
          </c:extLst>
        </c:ser>
        <c:ser>
          <c:idx val="2"/>
          <c:order val="2"/>
          <c:tx>
            <c:strRef>
              <c:f>'Jan 2026'!$E$7</c:f>
              <c:strCache>
                <c:ptCount val="1"/>
                <c:pt idx="0">
                  <c:v>Description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2026'!$E$8:$E$39</c:f>
              <c:numCache>
                <c:formatCode>General</c:formatCode>
                <c:ptCount val="3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7B-46D5-958D-17BE61E0A984}"/>
            </c:ext>
          </c:extLst>
        </c:ser>
        <c:ser>
          <c:idx val="3"/>
          <c:order val="3"/>
          <c:tx>
            <c:strRef>
              <c:f>'Jan 2026'!$F$7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2026'!$F$8:$F$39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3-717B-46D5-958D-17BE61E0A984}"/>
            </c:ext>
          </c:extLst>
        </c:ser>
        <c:ser>
          <c:idx val="4"/>
          <c:order val="4"/>
          <c:tx>
            <c:strRef>
              <c:f>'Jan 2026'!$G$7</c:f>
              <c:strCache>
                <c:ptCount val="1"/>
                <c:pt idx="0">
                  <c:v>Working Hours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2026'!$G$8:$G$39</c:f>
              <c:numCache>
                <c:formatCode>0.00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7B-46D5-958D-17BE61E0A984}"/>
            </c:ext>
          </c:extLst>
        </c:ser>
        <c:ser>
          <c:idx val="5"/>
          <c:order val="5"/>
          <c:tx>
            <c:strRef>
              <c:f>'Jan 2026'!$H$7</c:f>
              <c:strCache>
                <c:ptCount val="1"/>
                <c:pt idx="0">
                  <c:v>Overtime Hours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'Jan 2026'!$A$8:$B$39</c:f>
              <c:multiLvlStrCache>
                <c:ptCount val="32"/>
                <c:lvl>
                  <c:pt idx="1">
                    <c:v>1-Jan-26</c:v>
                  </c:pt>
                  <c:pt idx="2">
                    <c:v>2-Jan-26</c:v>
                  </c:pt>
                  <c:pt idx="3">
                    <c:v>3-Jan-26</c:v>
                  </c:pt>
                  <c:pt idx="4">
                    <c:v>4-Jan-26</c:v>
                  </c:pt>
                  <c:pt idx="5">
                    <c:v>5-Jan-26</c:v>
                  </c:pt>
                  <c:pt idx="6">
                    <c:v>6-Jan-26</c:v>
                  </c:pt>
                  <c:pt idx="7">
                    <c:v>7-Jan-26</c:v>
                  </c:pt>
                  <c:pt idx="8">
                    <c:v>8-Jan-26</c:v>
                  </c:pt>
                  <c:pt idx="9">
                    <c:v>9-Jan-26</c:v>
                  </c:pt>
                  <c:pt idx="10">
                    <c:v>10-Jan-26</c:v>
                  </c:pt>
                  <c:pt idx="11">
                    <c:v>11-Jan-26</c:v>
                  </c:pt>
                  <c:pt idx="12">
                    <c:v>12-Jan-26</c:v>
                  </c:pt>
                  <c:pt idx="13">
                    <c:v>13-Jan-26</c:v>
                  </c:pt>
                  <c:pt idx="14">
                    <c:v>14-Jan-26</c:v>
                  </c:pt>
                  <c:pt idx="15">
                    <c:v>15-Jan-26</c:v>
                  </c:pt>
                  <c:pt idx="16">
                    <c:v>16-Jan-26</c:v>
                  </c:pt>
                  <c:pt idx="17">
                    <c:v>17-Jan-26</c:v>
                  </c:pt>
                  <c:pt idx="18">
                    <c:v>18-Jan-26</c:v>
                  </c:pt>
                  <c:pt idx="19">
                    <c:v>19-Jan-26</c:v>
                  </c:pt>
                  <c:pt idx="20">
                    <c:v>20-Jan-26</c:v>
                  </c:pt>
                  <c:pt idx="21">
                    <c:v>21-Jan-26</c:v>
                  </c:pt>
                  <c:pt idx="22">
                    <c:v>22-Jan-26</c:v>
                  </c:pt>
                  <c:pt idx="23">
                    <c:v>23-Jan-26</c:v>
                  </c:pt>
                  <c:pt idx="24">
                    <c:v>24-Jan-26</c:v>
                  </c:pt>
                  <c:pt idx="25">
                    <c:v>25-Jan-26</c:v>
                  </c:pt>
                  <c:pt idx="26">
                    <c:v>26-Jan-26</c:v>
                  </c:pt>
                  <c:pt idx="27">
                    <c:v>27-Jan-26</c:v>
                  </c:pt>
                  <c:pt idx="28">
                    <c:v>28-Jan-26</c:v>
                  </c:pt>
                  <c:pt idx="29">
                    <c:v>29-Jan-26</c:v>
                  </c:pt>
                  <c:pt idx="30">
                    <c:v>30-Jan-26</c:v>
                  </c:pt>
                  <c:pt idx="31">
                    <c:v>31-Jan-26</c:v>
                  </c:pt>
                </c:lvl>
                <c:lvl>
                  <c:pt idx="1">
                    <c:v>Public Holiday</c:v>
                  </c:pt>
                  <c:pt idx="2">
                    <c:v>Public Holiday</c:v>
                  </c:pt>
                  <c:pt idx="3">
                    <c:v>Weekend</c:v>
                  </c:pt>
                  <c:pt idx="4">
                    <c:v>Weekend</c:v>
                  </c:pt>
                  <c:pt idx="5">
                    <c:v>Public Holiday</c:v>
                  </c:pt>
                  <c:pt idx="6">
                    <c:v>Billable</c:v>
                  </c:pt>
                  <c:pt idx="7">
                    <c:v>Billable</c:v>
                  </c:pt>
                  <c:pt idx="8">
                    <c:v>Billable</c:v>
                  </c:pt>
                  <c:pt idx="9">
                    <c:v>Billable</c:v>
                  </c:pt>
                  <c:pt idx="10">
                    <c:v>Weekend</c:v>
                  </c:pt>
                  <c:pt idx="11">
                    <c:v>Weekend</c:v>
                  </c:pt>
                  <c:pt idx="12">
                    <c:v>Billable</c:v>
                  </c:pt>
                  <c:pt idx="13">
                    <c:v>Billable</c:v>
                  </c:pt>
                  <c:pt idx="14">
                    <c:v>Billable</c:v>
                  </c:pt>
                  <c:pt idx="15">
                    <c:v>Billable</c:v>
                  </c:pt>
                  <c:pt idx="16">
                    <c:v>Billable</c:v>
                  </c:pt>
                  <c:pt idx="17">
                    <c:v>Weekend</c:v>
                  </c:pt>
                  <c:pt idx="18">
                    <c:v>Weekend</c:v>
                  </c:pt>
                  <c:pt idx="19">
                    <c:v>Billable</c:v>
                  </c:pt>
                  <c:pt idx="20">
                    <c:v>Billable</c:v>
                  </c:pt>
                  <c:pt idx="21">
                    <c:v>Billable</c:v>
                  </c:pt>
                  <c:pt idx="22">
                    <c:v>Billable</c:v>
                  </c:pt>
                  <c:pt idx="23">
                    <c:v>Billable</c:v>
                  </c:pt>
                  <c:pt idx="24">
                    <c:v>Weekend</c:v>
                  </c:pt>
                  <c:pt idx="25">
                    <c:v>Weekend</c:v>
                  </c:pt>
                  <c:pt idx="26">
                    <c:v>Billable</c:v>
                  </c:pt>
                  <c:pt idx="27">
                    <c:v>Billable</c:v>
                  </c:pt>
                  <c:pt idx="28">
                    <c:v>Billable</c:v>
                  </c:pt>
                  <c:pt idx="29">
                    <c:v>Billable</c:v>
                  </c:pt>
                  <c:pt idx="30">
                    <c:v>Billable</c:v>
                  </c:pt>
                  <c:pt idx="31">
                    <c:v>Weekend</c:v>
                  </c:pt>
                </c:lvl>
              </c:multiLvlStrCache>
            </c:multiLvlStrRef>
          </c:cat>
          <c:val>
            <c:numRef>
              <c:f>'Jan 2026'!$H$8:$H$39</c:f>
              <c:numCache>
                <c:formatCode>0.00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5-717B-46D5-958D-17BE61E0A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480255"/>
        <c:axId val="1531480735"/>
      </c:barChart>
      <c:catAx>
        <c:axId val="153148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80735"/>
        <c:crosses val="autoZero"/>
        <c:auto val="1"/>
        <c:lblAlgn val="ctr"/>
        <c:lblOffset val="100"/>
        <c:noMultiLvlLbl val="0"/>
      </c:catAx>
      <c:valAx>
        <c:axId val="15314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099F29-0271-471F-B6CA-017F9AB0BB30}">
  <sheetPr/>
  <sheetViews>
    <sheetView zoomScale="12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837955-04AC-49F9-99C0-AA88F11C5DD2}">
  <sheetPr/>
  <sheetViews>
    <sheetView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27278</xdr:colOff>
      <xdr:row>0</xdr:row>
      <xdr:rowOff>38100</xdr:rowOff>
    </xdr:from>
    <xdr:to>
      <xdr:col>1</xdr:col>
      <xdr:colOff>2041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0FF3D-4097-3943-9DAE-B32792327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8" y="419100"/>
          <a:ext cx="1022513" cy="82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8EF2B-FF5B-F49B-8B92-E9FDF00E53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6751A-B924-2C30-8653-69FF855359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1</xdr:col>
      <xdr:colOff>1208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3FBB4-6608-2246-B416-2BBEC33E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832BE-E998-BF4B-B58F-3D08CA0E6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68DD5-AB80-E740-B992-B407EEFF5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DE8B8-40C8-FC46-897A-4E63DFDCE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AFDB3-79DF-F447-9506-0C8D26A4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5CEC7-9DBF-874B-A0ED-A35FD819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393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ED391-708B-DF43-8B10-61C058940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E6DE2-BAD4-F345-9F96-30DA74BB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EE2DE-2AF6-CA49-BEF4-59CE7A26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20EE3-6375-1E4C-9337-7C65594E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5BE774-D651-6A4F-BCB7-15114DDE6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45714</xdr:colOff>
      <xdr:row>0</xdr:row>
      <xdr:rowOff>111869</xdr:rowOff>
    </xdr:from>
    <xdr:to>
      <xdr:col>0</xdr:col>
      <xdr:colOff>841172</xdr:colOff>
      <xdr:row>4</xdr:row>
      <xdr:rowOff>178042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3E9CD-C206-3E4E-A0EE-8F69001E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4" y="111869"/>
          <a:ext cx="795458" cy="75197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101600</xdr:colOff>
      <xdr:row>1</xdr:row>
      <xdr:rowOff>12700</xdr:rowOff>
    </xdr:to>
    <xdr:pic>
      <xdr:nvPicPr>
        <xdr:cNvPr id="4097" name="Picture 1" descr="clip_image001.png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781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345422</xdr:colOff>
      <xdr:row>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14" t="18520" r="1614" b="27161"/>
        <a:stretch>
          <a:fillRect/>
        </a:stretch>
      </xdr:blipFill>
      <xdr:spPr bwMode="auto">
        <a:xfrm>
          <a:off x="0" y="0"/>
          <a:ext cx="3647422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345422</xdr:colOff>
      <xdr:row>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14" t="18520" r="1614" b="27161"/>
        <a:stretch>
          <a:fillRect/>
        </a:stretch>
      </xdr:blipFill>
      <xdr:spPr bwMode="auto">
        <a:xfrm>
          <a:off x="0" y="0"/>
          <a:ext cx="3647422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447022</xdr:colOff>
      <xdr:row>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14" t="18520" r="1614" b="27161"/>
        <a:stretch>
          <a:fillRect/>
        </a:stretch>
      </xdr:blipFill>
      <xdr:spPr bwMode="auto">
        <a:xfrm>
          <a:off x="0" y="0"/>
          <a:ext cx="3647422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 AMASS CORPORATION (THAILAND)" refreshedDate="45982.692850810185" createdVersion="8" refreshedVersion="8" minRefreshableVersion="3" recordCount="5" xr:uid="{DB292503-9D97-7D4E-8014-7601AA367D23}">
  <cacheSource type="worksheet">
    <worksheetSource ref="C6:C11" sheet="Sheet1"/>
  </cacheSource>
  <cacheFields count="1">
    <cacheField name="Field1" numFmtId="0">
      <sharedItems count="5">
        <s v="Company:"/>
        <s v="Customer:"/>
        <s v="Month/Year:"/>
        <s v="Consultant Name:"/>
        <s v="Position: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</r>
  <r>
    <x v="1"/>
  </r>
  <r>
    <x v="2"/>
  </r>
  <r>
    <x v="3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0F492-F717-6F44-B8CA-2A50E7ECAB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8" firstHeaderRow="1" firstDataRow="1" firstDataCol="1"/>
  <pivotFields count="1">
    <pivotField axis="axisRow" dataField="1" compact="0" outline="0" showAll="0" sortType="descending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Count of Field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9CC8-A28C-1446-8CC7-CEF90F6894BE}">
  <dimension ref="A1:H13"/>
  <sheetViews>
    <sheetView view="pageLayout" topLeftCell="A3" zoomScaleNormal="100" workbookViewId="0">
      <selection activeCell="D23" sqref="D23"/>
    </sheetView>
  </sheetViews>
  <sheetFormatPr defaultColWidth="11.42578125" defaultRowHeight="15" x14ac:dyDescent="0.25"/>
  <cols>
    <col min="1" max="1" width="14" customWidth="1"/>
    <col min="2" max="2" width="11.85546875" customWidth="1"/>
    <col min="3" max="4" width="8.42578125" customWidth="1"/>
    <col min="7" max="8" width="8" customWidth="1"/>
  </cols>
  <sheetData>
    <row r="1" spans="1:8" s="47" customFormat="1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s="47" customFormat="1" ht="12" x14ac:dyDescent="0.2">
      <c r="A2" s="87"/>
      <c r="B2" s="44" t="s">
        <v>54</v>
      </c>
      <c r="C2" s="64" t="s">
        <v>56</v>
      </c>
      <c r="D2" s="46"/>
      <c r="E2" s="46"/>
      <c r="F2" s="56"/>
      <c r="G2" s="56"/>
      <c r="H2" s="57"/>
    </row>
    <row r="3" spans="1:8" s="47" customFormat="1" ht="12" x14ac:dyDescent="0.2">
      <c r="A3" s="87"/>
      <c r="B3" s="44" t="s">
        <v>38</v>
      </c>
      <c r="C3" s="88">
        <v>45444</v>
      </c>
      <c r="D3" s="89"/>
      <c r="E3" s="89"/>
      <c r="F3" s="56"/>
      <c r="G3" s="56"/>
      <c r="H3" s="57"/>
    </row>
    <row r="4" spans="1:8" s="47" customFormat="1" ht="15" customHeight="1" x14ac:dyDescent="0.2">
      <c r="A4" s="87"/>
      <c r="B4" s="48" t="s">
        <v>39</v>
      </c>
      <c r="C4" s="64" t="s">
        <v>57</v>
      </c>
      <c r="D4" s="46"/>
      <c r="E4" s="46"/>
      <c r="F4" s="56"/>
      <c r="G4" s="56"/>
      <c r="H4" s="57"/>
    </row>
    <row r="5" spans="1:8" s="47" customFormat="1" ht="15" customHeight="1" x14ac:dyDescent="0.2">
      <c r="A5" s="87"/>
      <c r="B5" s="48" t="s">
        <v>40</v>
      </c>
      <c r="C5" s="65" t="s">
        <v>58</v>
      </c>
      <c r="D5" s="46"/>
      <c r="E5" s="46"/>
      <c r="F5" s="56"/>
      <c r="G5" s="56"/>
      <c r="H5" s="57"/>
    </row>
    <row r="6" spans="1:8" s="47" customFormat="1" ht="5.0999999999999996" customHeight="1" x14ac:dyDescent="0.2">
      <c r="F6" s="53"/>
      <c r="G6" s="53"/>
      <c r="H6" s="53"/>
    </row>
    <row r="7" spans="1:8" s="47" customFormat="1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s="47" customFormat="1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s="47" customFormat="1" ht="12" x14ac:dyDescent="0.2">
      <c r="A9" s="50" t="s">
        <v>12</v>
      </c>
      <c r="B9" s="51">
        <f>C3</f>
        <v>45444</v>
      </c>
      <c r="C9" s="52"/>
      <c r="D9" s="52"/>
      <c r="E9" s="82"/>
      <c r="F9" s="83"/>
      <c r="G9" s="54" t="str">
        <f t="shared" ref="G9:G13" si="0">TEXT(D9-C9,"H:MM")</f>
        <v>0:00</v>
      </c>
      <c r="H9" s="54"/>
    </row>
    <row r="10" spans="1:8" s="47" customFormat="1" ht="12" x14ac:dyDescent="0.2">
      <c r="A10" s="50" t="s">
        <v>12</v>
      </c>
      <c r="B10" s="51">
        <f>SUM(B9+1)</f>
        <v>45445</v>
      </c>
      <c r="C10" s="52"/>
      <c r="D10" s="52"/>
      <c r="E10" s="82"/>
      <c r="F10" s="83"/>
      <c r="G10" s="54" t="str">
        <f>TEXT(D10-C10,"H:MM")</f>
        <v>0:00</v>
      </c>
      <c r="H10" s="54"/>
    </row>
    <row r="11" spans="1:8" s="47" customFormat="1" ht="12" x14ac:dyDescent="0.2">
      <c r="A11" s="50" t="s">
        <v>11</v>
      </c>
      <c r="B11" s="51">
        <f t="shared" ref="B11:B13" si="1">SUM(B10+1)</f>
        <v>45446</v>
      </c>
      <c r="C11" s="52"/>
      <c r="D11" s="52"/>
      <c r="E11" s="82"/>
      <c r="F11" s="83"/>
      <c r="G11" s="54" t="str">
        <f t="shared" si="0"/>
        <v>0:00</v>
      </c>
      <c r="H11" s="54"/>
    </row>
    <row r="12" spans="1:8" s="47" customFormat="1" ht="12" x14ac:dyDescent="0.2">
      <c r="A12" s="50" t="s">
        <v>14</v>
      </c>
      <c r="B12" s="51">
        <f t="shared" si="1"/>
        <v>45447</v>
      </c>
      <c r="C12" s="52">
        <v>0.375</v>
      </c>
      <c r="D12" s="52">
        <v>0.75</v>
      </c>
      <c r="E12" s="82" t="s">
        <v>55</v>
      </c>
      <c r="F12" s="83"/>
      <c r="G12" s="54" t="str">
        <f t="shared" si="0"/>
        <v>9:00</v>
      </c>
      <c r="H12" s="54"/>
    </row>
    <row r="13" spans="1:8" s="47" customFormat="1" ht="12" x14ac:dyDescent="0.2">
      <c r="A13" s="50" t="s">
        <v>15</v>
      </c>
      <c r="B13" s="51">
        <f t="shared" si="1"/>
        <v>45448</v>
      </c>
      <c r="C13" s="52"/>
      <c r="D13" s="52"/>
      <c r="E13" s="82"/>
      <c r="F13" s="83"/>
      <c r="G13" s="54" t="str">
        <f t="shared" si="0"/>
        <v>0:00</v>
      </c>
      <c r="H13" s="54"/>
    </row>
  </sheetData>
  <mergeCells count="13">
    <mergeCell ref="A1:A5"/>
    <mergeCell ref="C3:E3"/>
    <mergeCell ref="A7:A8"/>
    <mergeCell ref="B7:B8"/>
    <mergeCell ref="C7:D7"/>
    <mergeCell ref="E7:F8"/>
    <mergeCell ref="E12:F12"/>
    <mergeCell ref="E13:F13"/>
    <mergeCell ref="G7:G8"/>
    <mergeCell ref="H7:H8"/>
    <mergeCell ref="E9:F9"/>
    <mergeCell ref="E10:F10"/>
    <mergeCell ref="E11:F11"/>
  </mergeCells>
  <conditionalFormatting sqref="A9:E13 G9:H13">
    <cfRule type="expression" dxfId="83" priority="1">
      <formula>$A9:$H9="Weekend"</formula>
    </cfRule>
    <cfRule type="expression" dxfId="82" priority="2">
      <formula>$A9:$H9="Public Holiday"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8580D0-FE7C-3B47-99AB-424B246B2633}">
          <x14:formula1>
            <xm:f>Control!$B$2:$B$8</xm:f>
          </x14:formula1>
          <xm:sqref>A9:A13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38D0-5546-E748-81CA-6E99D924958A}">
  <sheetPr>
    <tabColor rgb="FF0070C0"/>
  </sheetPr>
  <dimension ref="A1:H57"/>
  <sheetViews>
    <sheetView tabSelected="1" view="pageLayout" zoomScale="135" zoomScaleNormal="100" zoomScalePageLayoutView="135" workbookViewId="0">
      <selection activeCell="E17" sqref="E17:F17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 t="s">
        <v>84</v>
      </c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46023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 t="s">
        <v>85</v>
      </c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 t="s">
        <v>86</v>
      </c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11</v>
      </c>
      <c r="B9" s="51">
        <f>C3</f>
        <v>46023</v>
      </c>
      <c r="C9" s="52"/>
      <c r="D9" s="52"/>
      <c r="E9" s="82"/>
      <c r="F9" s="83"/>
      <c r="G9" s="54" t="str">
        <f t="shared" ref="G9" si="0">TEXT(D9-C9,"H:MM")</f>
        <v>0:00</v>
      </c>
      <c r="H9" s="54"/>
    </row>
    <row r="10" spans="1:8" ht="12.95" customHeight="1" x14ac:dyDescent="0.2">
      <c r="A10" s="50" t="s">
        <v>11</v>
      </c>
      <c r="B10" s="51">
        <f>SUM(B9+1)</f>
        <v>46024</v>
      </c>
      <c r="C10" s="52"/>
      <c r="D10" s="52"/>
      <c r="E10" s="82"/>
      <c r="F10" s="83"/>
      <c r="G10" s="54" t="str">
        <f>TEXT(D10-C10,"H:MM")</f>
        <v>0:00</v>
      </c>
      <c r="H10" s="54"/>
    </row>
    <row r="11" spans="1:8" ht="12.95" customHeight="1" x14ac:dyDescent="0.2">
      <c r="A11" s="50" t="s">
        <v>12</v>
      </c>
      <c r="B11" s="51">
        <f t="shared" ref="B11:B39" si="1">SUM(B10+1)</f>
        <v>46025</v>
      </c>
      <c r="C11" s="52"/>
      <c r="D11" s="52"/>
      <c r="E11" s="82"/>
      <c r="F11" s="83"/>
      <c r="G11" s="54" t="str">
        <f t="shared" ref="G11:G12" si="2">TEXT(D11-C11,"H:MM")</f>
        <v>0:00</v>
      </c>
      <c r="H11" s="54"/>
    </row>
    <row r="12" spans="1:8" ht="12.95" customHeight="1" x14ac:dyDescent="0.2">
      <c r="A12" s="50" t="s">
        <v>12</v>
      </c>
      <c r="B12" s="51">
        <f t="shared" si="1"/>
        <v>46026</v>
      </c>
      <c r="C12" s="52"/>
      <c r="D12" s="52"/>
      <c r="E12" s="82"/>
      <c r="F12" s="83"/>
      <c r="G12" s="54" t="str">
        <f t="shared" si="2"/>
        <v>0:00</v>
      </c>
      <c r="H12" s="54"/>
    </row>
    <row r="13" spans="1:8" ht="12.95" customHeight="1" x14ac:dyDescent="0.2">
      <c r="A13" s="50" t="s">
        <v>11</v>
      </c>
      <c r="B13" s="51">
        <f t="shared" si="1"/>
        <v>46027</v>
      </c>
      <c r="C13" s="52"/>
      <c r="D13" s="52"/>
      <c r="E13" s="82"/>
      <c r="F13" s="83"/>
      <c r="G13" s="54" t="str">
        <f>TEXT(D13-C13,"H:MM")</f>
        <v>0:00</v>
      </c>
      <c r="H13" s="54"/>
    </row>
    <row r="14" spans="1:8" ht="12.95" customHeight="1" x14ac:dyDescent="0.2">
      <c r="A14" s="50" t="s">
        <v>14</v>
      </c>
      <c r="B14" s="51">
        <f t="shared" si="1"/>
        <v>46028</v>
      </c>
      <c r="C14" s="52">
        <v>0.375</v>
      </c>
      <c r="D14" s="52">
        <v>0.75</v>
      </c>
      <c r="E14" s="82" t="s">
        <v>87</v>
      </c>
      <c r="F14" s="83"/>
      <c r="G14" s="54" t="str">
        <f>TEXT(D14-C14,"H:MM")</f>
        <v>9:00</v>
      </c>
      <c r="H14" s="54"/>
    </row>
    <row r="15" spans="1:8" ht="12.95" customHeight="1" x14ac:dyDescent="0.2">
      <c r="A15" s="50" t="s">
        <v>14</v>
      </c>
      <c r="B15" s="51">
        <f t="shared" si="1"/>
        <v>46029</v>
      </c>
      <c r="C15" s="52">
        <v>0.375</v>
      </c>
      <c r="D15" s="52">
        <v>0.75</v>
      </c>
      <c r="E15" s="82" t="s">
        <v>87</v>
      </c>
      <c r="F15" s="83"/>
      <c r="G15" s="54" t="str">
        <f t="shared" ref="G15:G38" si="3">TEXT(D15-C15,"H:MM")</f>
        <v>9:00</v>
      </c>
      <c r="H15" s="54"/>
    </row>
    <row r="16" spans="1:8" ht="12.95" customHeight="1" x14ac:dyDescent="0.2">
      <c r="A16" s="50" t="s">
        <v>14</v>
      </c>
      <c r="B16" s="51">
        <f t="shared" si="1"/>
        <v>46030</v>
      </c>
      <c r="C16" s="52">
        <v>0.375</v>
      </c>
      <c r="D16" s="52">
        <v>0.75</v>
      </c>
      <c r="E16" s="82" t="s">
        <v>87</v>
      </c>
      <c r="F16" s="83"/>
      <c r="G16" s="54" t="str">
        <f t="shared" si="3"/>
        <v>9:00</v>
      </c>
      <c r="H16" s="54"/>
    </row>
    <row r="17" spans="1:8" ht="12.95" customHeight="1" x14ac:dyDescent="0.2">
      <c r="A17" s="50" t="s">
        <v>14</v>
      </c>
      <c r="B17" s="51">
        <f t="shared" si="1"/>
        <v>46031</v>
      </c>
      <c r="C17" s="52">
        <v>0.375</v>
      </c>
      <c r="D17" s="52">
        <v>0.75</v>
      </c>
      <c r="E17" s="82" t="s">
        <v>87</v>
      </c>
      <c r="F17" s="83"/>
      <c r="G17" s="54" t="str">
        <f t="shared" si="3"/>
        <v>9:00</v>
      </c>
      <c r="H17" s="54"/>
    </row>
    <row r="18" spans="1:8" ht="12.95" customHeight="1" x14ac:dyDescent="0.2">
      <c r="A18" s="50" t="s">
        <v>12</v>
      </c>
      <c r="B18" s="51">
        <f t="shared" si="1"/>
        <v>46032</v>
      </c>
      <c r="C18" s="52"/>
      <c r="D18" s="52"/>
      <c r="E18" s="82"/>
      <c r="F18" s="83"/>
      <c r="G18" s="54"/>
      <c r="H18" s="54"/>
    </row>
    <row r="19" spans="1:8" ht="12.95" customHeight="1" x14ac:dyDescent="0.2">
      <c r="A19" s="50" t="s">
        <v>12</v>
      </c>
      <c r="B19" s="51">
        <f t="shared" si="1"/>
        <v>46033</v>
      </c>
      <c r="C19" s="52"/>
      <c r="D19" s="52"/>
      <c r="E19" s="82"/>
      <c r="F19" s="83"/>
      <c r="G19" s="54"/>
      <c r="H19" s="54"/>
    </row>
    <row r="20" spans="1:8" ht="12.95" customHeight="1" x14ac:dyDescent="0.2">
      <c r="A20" s="50" t="s">
        <v>14</v>
      </c>
      <c r="B20" s="51">
        <f t="shared" si="1"/>
        <v>46034</v>
      </c>
      <c r="C20" s="52">
        <v>0.375</v>
      </c>
      <c r="D20" s="52">
        <v>0.75</v>
      </c>
      <c r="E20" s="82"/>
      <c r="F20" s="83"/>
      <c r="G20" s="54" t="str">
        <f t="shared" si="3"/>
        <v>9:00</v>
      </c>
      <c r="H20" s="54"/>
    </row>
    <row r="21" spans="1:8" ht="12.95" customHeight="1" x14ac:dyDescent="0.2">
      <c r="A21" s="50" t="s">
        <v>14</v>
      </c>
      <c r="B21" s="51">
        <f t="shared" si="1"/>
        <v>46035</v>
      </c>
      <c r="C21" s="52">
        <v>0.375</v>
      </c>
      <c r="D21" s="52">
        <v>0.75</v>
      </c>
      <c r="E21" s="82"/>
      <c r="F21" s="83"/>
      <c r="G21" s="54" t="str">
        <f t="shared" si="3"/>
        <v>9:00</v>
      </c>
      <c r="H21" s="54"/>
    </row>
    <row r="22" spans="1:8" ht="12.95" customHeight="1" x14ac:dyDescent="0.2">
      <c r="A22" s="50" t="s">
        <v>14</v>
      </c>
      <c r="B22" s="51">
        <f t="shared" si="1"/>
        <v>46036</v>
      </c>
      <c r="C22" s="52">
        <v>0.375</v>
      </c>
      <c r="D22" s="52">
        <v>0.75</v>
      </c>
      <c r="E22" s="82"/>
      <c r="F22" s="83"/>
      <c r="G22" s="54" t="str">
        <f t="shared" si="3"/>
        <v>9:00</v>
      </c>
      <c r="H22" s="54"/>
    </row>
    <row r="23" spans="1:8" ht="12.95" customHeight="1" x14ac:dyDescent="0.2">
      <c r="A23" s="50" t="s">
        <v>14</v>
      </c>
      <c r="B23" s="51">
        <f t="shared" si="1"/>
        <v>46037</v>
      </c>
      <c r="C23" s="52">
        <v>0.375</v>
      </c>
      <c r="D23" s="52">
        <v>0.75</v>
      </c>
      <c r="E23" s="82"/>
      <c r="F23" s="83"/>
      <c r="G23" s="54" t="str">
        <f t="shared" si="3"/>
        <v>9:00</v>
      </c>
      <c r="H23" s="54"/>
    </row>
    <row r="24" spans="1:8" ht="12.95" customHeight="1" x14ac:dyDescent="0.2">
      <c r="A24" s="50" t="s">
        <v>14</v>
      </c>
      <c r="B24" s="51">
        <f t="shared" si="1"/>
        <v>46038</v>
      </c>
      <c r="C24" s="52">
        <v>0.375</v>
      </c>
      <c r="D24" s="52">
        <v>0.75</v>
      </c>
      <c r="E24" s="82"/>
      <c r="F24" s="83"/>
      <c r="G24" s="54" t="str">
        <f t="shared" si="3"/>
        <v>9:00</v>
      </c>
      <c r="H24" s="54"/>
    </row>
    <row r="25" spans="1:8" ht="12.95" customHeight="1" x14ac:dyDescent="0.2">
      <c r="A25" s="50" t="s">
        <v>12</v>
      </c>
      <c r="B25" s="51">
        <f t="shared" si="1"/>
        <v>46039</v>
      </c>
      <c r="C25" s="52"/>
      <c r="D25" s="52"/>
      <c r="E25" s="82"/>
      <c r="F25" s="83"/>
      <c r="G25" s="54"/>
      <c r="H25" s="54"/>
    </row>
    <row r="26" spans="1:8" ht="12.95" customHeight="1" x14ac:dyDescent="0.2">
      <c r="A26" s="50" t="s">
        <v>12</v>
      </c>
      <c r="B26" s="51">
        <f t="shared" si="1"/>
        <v>46040</v>
      </c>
      <c r="C26" s="52"/>
      <c r="D26" s="52"/>
      <c r="E26" s="82"/>
      <c r="F26" s="83"/>
      <c r="G26" s="54"/>
      <c r="H26" s="54"/>
    </row>
    <row r="27" spans="1:8" ht="12.95" customHeight="1" x14ac:dyDescent="0.2">
      <c r="A27" s="50" t="s">
        <v>14</v>
      </c>
      <c r="B27" s="51">
        <f t="shared" si="1"/>
        <v>46041</v>
      </c>
      <c r="C27" s="52">
        <v>0.375</v>
      </c>
      <c r="D27" s="52">
        <v>0.75</v>
      </c>
      <c r="E27" s="82"/>
      <c r="F27" s="83"/>
      <c r="G27" s="54" t="str">
        <f t="shared" si="3"/>
        <v>9:00</v>
      </c>
      <c r="H27" s="54"/>
    </row>
    <row r="28" spans="1:8" ht="12.95" customHeight="1" x14ac:dyDescent="0.2">
      <c r="A28" s="50" t="s">
        <v>14</v>
      </c>
      <c r="B28" s="51">
        <f t="shared" si="1"/>
        <v>46042</v>
      </c>
      <c r="C28" s="52">
        <v>0.375</v>
      </c>
      <c r="D28" s="52">
        <v>0.75</v>
      </c>
      <c r="E28" s="82"/>
      <c r="F28" s="83"/>
      <c r="G28" s="54" t="str">
        <f t="shared" si="3"/>
        <v>9:00</v>
      </c>
      <c r="H28" s="54"/>
    </row>
    <row r="29" spans="1:8" ht="12.95" customHeight="1" x14ac:dyDescent="0.2">
      <c r="A29" s="50" t="s">
        <v>14</v>
      </c>
      <c r="B29" s="51">
        <f t="shared" si="1"/>
        <v>46043</v>
      </c>
      <c r="C29" s="52">
        <v>0.375</v>
      </c>
      <c r="D29" s="52">
        <v>0.75</v>
      </c>
      <c r="E29" s="82"/>
      <c r="F29" s="83"/>
      <c r="G29" s="54" t="str">
        <f t="shared" si="3"/>
        <v>9:00</v>
      </c>
      <c r="H29" s="54"/>
    </row>
    <row r="30" spans="1:8" ht="12.95" customHeight="1" x14ac:dyDescent="0.2">
      <c r="A30" s="50" t="s">
        <v>14</v>
      </c>
      <c r="B30" s="51">
        <f t="shared" si="1"/>
        <v>46044</v>
      </c>
      <c r="C30" s="52">
        <v>0.375</v>
      </c>
      <c r="D30" s="52">
        <v>0.75</v>
      </c>
      <c r="E30" s="82"/>
      <c r="F30" s="83"/>
      <c r="G30" s="54" t="str">
        <f t="shared" si="3"/>
        <v>9:00</v>
      </c>
      <c r="H30" s="54"/>
    </row>
    <row r="31" spans="1:8" ht="12.95" customHeight="1" x14ac:dyDescent="0.2">
      <c r="A31" s="50" t="s">
        <v>14</v>
      </c>
      <c r="B31" s="51">
        <f t="shared" si="1"/>
        <v>46045</v>
      </c>
      <c r="C31" s="52">
        <v>0.375</v>
      </c>
      <c r="D31" s="52">
        <v>0.75</v>
      </c>
      <c r="E31" s="82"/>
      <c r="F31" s="83"/>
      <c r="G31" s="54" t="str">
        <f t="shared" si="3"/>
        <v>9:00</v>
      </c>
      <c r="H31" s="54"/>
    </row>
    <row r="32" spans="1:8" ht="12.95" customHeight="1" x14ac:dyDescent="0.2">
      <c r="A32" s="50" t="s">
        <v>12</v>
      </c>
      <c r="B32" s="51">
        <f t="shared" si="1"/>
        <v>46046</v>
      </c>
      <c r="C32" s="52"/>
      <c r="D32" s="52"/>
      <c r="E32" s="82"/>
      <c r="F32" s="83"/>
      <c r="G32" s="54"/>
      <c r="H32" s="54"/>
    </row>
    <row r="33" spans="1:8" ht="12.95" customHeight="1" x14ac:dyDescent="0.2">
      <c r="A33" s="50" t="s">
        <v>12</v>
      </c>
      <c r="B33" s="51">
        <f t="shared" si="1"/>
        <v>46047</v>
      </c>
      <c r="C33" s="52"/>
      <c r="D33" s="52"/>
      <c r="E33" s="82"/>
      <c r="F33" s="83"/>
      <c r="G33" s="54"/>
      <c r="H33" s="54"/>
    </row>
    <row r="34" spans="1:8" ht="12.95" customHeight="1" x14ac:dyDescent="0.2">
      <c r="A34" s="50" t="s">
        <v>14</v>
      </c>
      <c r="B34" s="51">
        <f t="shared" si="1"/>
        <v>46048</v>
      </c>
      <c r="C34" s="52">
        <v>0.375</v>
      </c>
      <c r="D34" s="52">
        <v>0.75</v>
      </c>
      <c r="E34" s="82"/>
      <c r="F34" s="83"/>
      <c r="G34" s="54" t="str">
        <f t="shared" si="3"/>
        <v>9:00</v>
      </c>
      <c r="H34" s="54"/>
    </row>
    <row r="35" spans="1:8" ht="12.95" customHeight="1" x14ac:dyDescent="0.2">
      <c r="A35" s="50" t="s">
        <v>14</v>
      </c>
      <c r="B35" s="51">
        <f t="shared" si="1"/>
        <v>46049</v>
      </c>
      <c r="C35" s="52">
        <v>0.375</v>
      </c>
      <c r="D35" s="52">
        <v>0.75</v>
      </c>
      <c r="E35" s="82"/>
      <c r="F35" s="83"/>
      <c r="G35" s="54" t="str">
        <f t="shared" si="3"/>
        <v>9:00</v>
      </c>
      <c r="H35" s="54"/>
    </row>
    <row r="36" spans="1:8" ht="12.95" customHeight="1" x14ac:dyDescent="0.2">
      <c r="A36" s="50" t="s">
        <v>14</v>
      </c>
      <c r="B36" s="51">
        <f t="shared" si="1"/>
        <v>46050</v>
      </c>
      <c r="C36" s="52">
        <v>0.375</v>
      </c>
      <c r="D36" s="52">
        <v>0.75</v>
      </c>
      <c r="E36" s="82"/>
      <c r="F36" s="83"/>
      <c r="G36" s="54" t="str">
        <f t="shared" si="3"/>
        <v>9:00</v>
      </c>
      <c r="H36" s="54"/>
    </row>
    <row r="37" spans="1:8" ht="12.95" customHeight="1" x14ac:dyDescent="0.2">
      <c r="A37" s="50" t="s">
        <v>14</v>
      </c>
      <c r="B37" s="51">
        <f t="shared" si="1"/>
        <v>46051</v>
      </c>
      <c r="C37" s="52">
        <v>0.375</v>
      </c>
      <c r="D37" s="52">
        <v>0.75</v>
      </c>
      <c r="E37" s="82"/>
      <c r="F37" s="83"/>
      <c r="G37" s="54" t="str">
        <f t="shared" si="3"/>
        <v>9:00</v>
      </c>
      <c r="H37" s="54"/>
    </row>
    <row r="38" spans="1:8" ht="12.95" customHeight="1" x14ac:dyDescent="0.2">
      <c r="A38" s="50" t="s">
        <v>14</v>
      </c>
      <c r="B38" s="51">
        <f t="shared" si="1"/>
        <v>46052</v>
      </c>
      <c r="C38" s="52">
        <v>0.375</v>
      </c>
      <c r="D38" s="52">
        <v>0.75</v>
      </c>
      <c r="E38" s="82"/>
      <c r="F38" s="83"/>
      <c r="G38" s="54" t="str">
        <f t="shared" si="3"/>
        <v>9:00</v>
      </c>
      <c r="H38" s="54"/>
    </row>
    <row r="39" spans="1:8" ht="12.95" customHeight="1" x14ac:dyDescent="0.2">
      <c r="A39" s="50" t="s">
        <v>12</v>
      </c>
      <c r="B39" s="51">
        <f t="shared" si="1"/>
        <v>46053</v>
      </c>
      <c r="C39" s="52"/>
      <c r="D39" s="52"/>
      <c r="E39" s="82"/>
      <c r="F39" s="83"/>
      <c r="G39" s="54"/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171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171</v>
      </c>
      <c r="D44" s="67">
        <f>C44/9</f>
        <v>19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171</v>
      </c>
      <c r="D49" s="76">
        <f>SUM(D44:D48)</f>
        <v>19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1" spans="1:6" s="53" customFormat="1" x14ac:dyDescent="0.2">
      <c r="A51" s="47"/>
      <c r="B51" s="47"/>
      <c r="C51" s="47"/>
      <c r="D51" s="47"/>
      <c r="E51" s="47"/>
    </row>
    <row r="53" spans="1:6" s="53" customFormat="1" x14ac:dyDescent="0.2">
      <c r="A53" s="77" t="s">
        <v>50</v>
      </c>
      <c r="B53" s="47" t="s">
        <v>48</v>
      </c>
      <c r="C53" s="47"/>
      <c r="D53" s="47"/>
      <c r="E53" s="77" t="s">
        <v>49</v>
      </c>
      <c r="F53" s="47" t="s">
        <v>52</v>
      </c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55"/>
      <c r="B55" s="47"/>
      <c r="C55" s="47"/>
      <c r="D55" s="47"/>
      <c r="E55" s="55"/>
      <c r="F55" s="47"/>
    </row>
    <row r="56" spans="1:6" s="53" customFormat="1" x14ac:dyDescent="0.2">
      <c r="A56" s="77" t="s">
        <v>77</v>
      </c>
      <c r="B56" s="47" t="s">
        <v>48</v>
      </c>
      <c r="C56" s="47"/>
      <c r="D56" s="47"/>
      <c r="E56" s="77" t="s">
        <v>51</v>
      </c>
      <c r="F56" s="47" t="s">
        <v>52</v>
      </c>
    </row>
    <row r="57" spans="1:6" s="53" customFormat="1" ht="23.1" customHeight="1" x14ac:dyDescent="0.2">
      <c r="A57" s="77" t="s">
        <v>37</v>
      </c>
      <c r="B57" s="47" t="s">
        <v>48</v>
      </c>
      <c r="C57" s="47"/>
      <c r="D57" s="47"/>
      <c r="E57" s="77" t="s">
        <v>37</v>
      </c>
      <c r="F57" s="47" t="s">
        <v>52</v>
      </c>
    </row>
  </sheetData>
  <mergeCells count="47"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44:B44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3:B43"/>
    <mergeCell ref="A45:B45"/>
    <mergeCell ref="A46:B46"/>
    <mergeCell ref="A47:B47"/>
    <mergeCell ref="A48:B48"/>
    <mergeCell ref="A49:B49"/>
  </mergeCells>
  <conditionalFormatting sqref="A9:A40">
    <cfRule type="expression" dxfId="81" priority="13">
      <formula>$A9:$I9="Weekend"</formula>
    </cfRule>
    <cfRule type="expression" dxfId="80" priority="14">
      <formula>$A9:$I9="Public Holiday"</formula>
    </cfRule>
  </conditionalFormatting>
  <conditionalFormatting sqref="B9:E9">
    <cfRule type="expression" dxfId="79" priority="11">
      <formula>$A9:$H9="Weekend"</formula>
    </cfRule>
    <cfRule type="expression" dxfId="78" priority="12">
      <formula>$A9:$H9="Public Holiday"</formula>
    </cfRule>
  </conditionalFormatting>
  <conditionalFormatting sqref="C10:E39">
    <cfRule type="expression" dxfId="77" priority="1">
      <formula>$A10:$H10="Weekend"</formula>
    </cfRule>
    <cfRule type="expression" dxfId="76" priority="2">
      <formula>$A10:$H10="Public Holiday"</formula>
    </cfRule>
  </conditionalFormatting>
  <conditionalFormatting sqref="G9:H40 A10:B12 B13 A14:B14 B15:B39 A40:E40">
    <cfRule type="expression" dxfId="75" priority="15">
      <formula>$A9:$H9="Weekend"</formula>
    </cfRule>
    <cfRule type="expression" dxfId="74" priority="16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3C881D-3FE2-0A49-AFD2-23DF87EE2C0F}">
          <x14:formula1>
            <xm:f>Control!$B$2:$B$8</xm:f>
          </x14:formula1>
          <xm:sqref>A9:A40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4EF8-8897-4547-99EC-A813C56B16B6}">
  <sheetPr>
    <tabColor rgb="FF0070C0"/>
  </sheetPr>
  <dimension ref="A1:H57"/>
  <sheetViews>
    <sheetView view="pageLayout" topLeftCell="A2" zoomScale="135" zoomScaleNormal="100" zoomScalePageLayoutView="135" workbookViewId="0">
      <selection activeCell="A36" sqref="A36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46054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12</v>
      </c>
      <c r="B9" s="51">
        <f>C3</f>
        <v>46054</v>
      </c>
      <c r="C9" s="52"/>
      <c r="D9" s="52"/>
      <c r="E9" s="82"/>
      <c r="F9" s="83"/>
      <c r="G9" s="54"/>
      <c r="H9" s="54"/>
    </row>
    <row r="10" spans="1:8" ht="12.95" customHeight="1" x14ac:dyDescent="0.2">
      <c r="A10" s="50" t="s">
        <v>14</v>
      </c>
      <c r="B10" s="51">
        <f>SUM(B9+1)</f>
        <v>46055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14</v>
      </c>
      <c r="B11" s="51">
        <f t="shared" ref="B11:B36" si="0">SUM(B10+1)</f>
        <v>46056</v>
      </c>
      <c r="C11" s="52">
        <v>0.375</v>
      </c>
      <c r="D11" s="52">
        <v>0.75</v>
      </c>
      <c r="E11" s="82"/>
      <c r="F11" s="83"/>
      <c r="G11" s="54" t="str">
        <f t="shared" ref="G11:G35" si="1">TEXT(D11-C11,"H:MM")</f>
        <v>9:00</v>
      </c>
      <c r="H11" s="54"/>
    </row>
    <row r="12" spans="1:8" ht="12.95" customHeight="1" x14ac:dyDescent="0.2">
      <c r="A12" s="50" t="s">
        <v>14</v>
      </c>
      <c r="B12" s="51">
        <f t="shared" si="0"/>
        <v>46057</v>
      </c>
      <c r="C12" s="52">
        <v>0.375</v>
      </c>
      <c r="D12" s="52">
        <v>0.75</v>
      </c>
      <c r="E12" s="82"/>
      <c r="F12" s="83"/>
      <c r="G12" s="54" t="str">
        <f t="shared" si="1"/>
        <v>9:00</v>
      </c>
      <c r="H12" s="54"/>
    </row>
    <row r="13" spans="1:8" ht="12.95" customHeight="1" x14ac:dyDescent="0.2">
      <c r="A13" s="50" t="s">
        <v>14</v>
      </c>
      <c r="B13" s="51">
        <f t="shared" si="0"/>
        <v>46058</v>
      </c>
      <c r="C13" s="52"/>
      <c r="D13" s="52"/>
      <c r="E13" s="82"/>
      <c r="F13" s="83"/>
      <c r="G13" s="54" t="str">
        <f t="shared" si="1"/>
        <v>0:00</v>
      </c>
      <c r="H13" s="54"/>
    </row>
    <row r="14" spans="1:8" ht="12.95" customHeight="1" x14ac:dyDescent="0.2">
      <c r="A14" s="50" t="s">
        <v>14</v>
      </c>
      <c r="B14" s="51">
        <f t="shared" si="0"/>
        <v>46059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12</v>
      </c>
      <c r="B15" s="51">
        <f t="shared" si="0"/>
        <v>46060</v>
      </c>
      <c r="C15" s="52"/>
      <c r="D15" s="52"/>
      <c r="E15" s="82"/>
      <c r="F15" s="83"/>
      <c r="G15" s="54"/>
      <c r="H15" s="54"/>
    </row>
    <row r="16" spans="1:8" ht="12.95" customHeight="1" x14ac:dyDescent="0.2">
      <c r="A16" s="50" t="s">
        <v>12</v>
      </c>
      <c r="B16" s="51">
        <f t="shared" si="0"/>
        <v>46061</v>
      </c>
      <c r="C16" s="52"/>
      <c r="D16" s="52"/>
      <c r="E16" s="82"/>
      <c r="F16" s="83"/>
      <c r="G16" s="54"/>
      <c r="H16" s="54"/>
    </row>
    <row r="17" spans="1:8" ht="12.95" customHeight="1" x14ac:dyDescent="0.2">
      <c r="A17" s="50" t="s">
        <v>14</v>
      </c>
      <c r="B17" s="51">
        <f t="shared" si="0"/>
        <v>46062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46063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14</v>
      </c>
      <c r="B19" s="51">
        <f t="shared" si="0"/>
        <v>46064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14</v>
      </c>
      <c r="B20" s="51">
        <f t="shared" si="0"/>
        <v>46065</v>
      </c>
      <c r="C20" s="52">
        <v>0.375</v>
      </c>
      <c r="D20" s="52">
        <v>0.75</v>
      </c>
      <c r="E20" s="82"/>
      <c r="F20" s="83"/>
      <c r="G20" s="54" t="str">
        <f t="shared" si="1"/>
        <v>9:00</v>
      </c>
      <c r="H20" s="54"/>
    </row>
    <row r="21" spans="1:8" ht="12.95" customHeight="1" x14ac:dyDescent="0.2">
      <c r="A21" s="50" t="s">
        <v>14</v>
      </c>
      <c r="B21" s="51">
        <f t="shared" si="0"/>
        <v>46066</v>
      </c>
      <c r="C21" s="52">
        <v>0.375</v>
      </c>
      <c r="D21" s="52">
        <v>0.75</v>
      </c>
      <c r="E21" s="82"/>
      <c r="F21" s="83"/>
      <c r="G21" s="54" t="str">
        <f t="shared" si="1"/>
        <v>9:00</v>
      </c>
      <c r="H21" s="54"/>
    </row>
    <row r="22" spans="1:8" ht="12.95" customHeight="1" x14ac:dyDescent="0.2">
      <c r="A22" s="50" t="s">
        <v>12</v>
      </c>
      <c r="B22" s="51">
        <f t="shared" si="0"/>
        <v>46067</v>
      </c>
      <c r="C22" s="52"/>
      <c r="D22" s="52"/>
      <c r="E22" s="82"/>
      <c r="F22" s="83"/>
      <c r="G22" s="54"/>
      <c r="H22" s="54"/>
    </row>
    <row r="23" spans="1:8" ht="12.95" customHeight="1" x14ac:dyDescent="0.2">
      <c r="A23" s="50" t="s">
        <v>12</v>
      </c>
      <c r="B23" s="51">
        <f t="shared" si="0"/>
        <v>46068</v>
      </c>
      <c r="C23" s="52"/>
      <c r="D23" s="52"/>
      <c r="E23" s="82"/>
      <c r="F23" s="83"/>
      <c r="G23" s="54"/>
      <c r="H23" s="54"/>
    </row>
    <row r="24" spans="1:8" ht="12.95" customHeight="1" x14ac:dyDescent="0.2">
      <c r="A24" s="50" t="s">
        <v>14</v>
      </c>
      <c r="B24" s="51">
        <f t="shared" si="0"/>
        <v>46069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46070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14</v>
      </c>
      <c r="B26" s="51">
        <f t="shared" si="0"/>
        <v>46071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14</v>
      </c>
      <c r="B27" s="51">
        <f t="shared" si="0"/>
        <v>46072</v>
      </c>
      <c r="C27" s="52">
        <v>0.375</v>
      </c>
      <c r="D27" s="52">
        <v>0.75</v>
      </c>
      <c r="E27" s="82"/>
      <c r="F27" s="83"/>
      <c r="G27" s="54" t="str">
        <f t="shared" si="1"/>
        <v>9:00</v>
      </c>
      <c r="H27" s="54"/>
    </row>
    <row r="28" spans="1:8" ht="12.95" customHeight="1" x14ac:dyDescent="0.2">
      <c r="A28" s="50" t="s">
        <v>14</v>
      </c>
      <c r="B28" s="51">
        <f t="shared" si="0"/>
        <v>46073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12</v>
      </c>
      <c r="B29" s="51">
        <f t="shared" si="0"/>
        <v>46074</v>
      </c>
      <c r="C29" s="52"/>
      <c r="D29" s="52"/>
      <c r="E29" s="82"/>
      <c r="F29" s="83"/>
      <c r="G29" s="54"/>
      <c r="H29" s="54"/>
    </row>
    <row r="30" spans="1:8" ht="12.95" customHeight="1" x14ac:dyDescent="0.2">
      <c r="A30" s="50" t="s">
        <v>12</v>
      </c>
      <c r="B30" s="51">
        <f t="shared" si="0"/>
        <v>46075</v>
      </c>
      <c r="C30" s="52"/>
      <c r="D30" s="52"/>
      <c r="E30" s="82"/>
      <c r="F30" s="83"/>
      <c r="G30" s="54"/>
      <c r="H30" s="54"/>
    </row>
    <row r="31" spans="1:8" ht="12.95" customHeight="1" x14ac:dyDescent="0.2">
      <c r="A31" s="50" t="s">
        <v>14</v>
      </c>
      <c r="B31" s="51">
        <f t="shared" si="0"/>
        <v>46076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46077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14</v>
      </c>
      <c r="B33" s="51">
        <f t="shared" si="0"/>
        <v>46078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14</v>
      </c>
      <c r="B34" s="51">
        <f t="shared" si="0"/>
        <v>46079</v>
      </c>
      <c r="C34" s="52">
        <v>0.375</v>
      </c>
      <c r="D34" s="52">
        <v>0.75</v>
      </c>
      <c r="E34" s="82"/>
      <c r="F34" s="83"/>
      <c r="G34" s="54" t="str">
        <f t="shared" si="1"/>
        <v>9:00</v>
      </c>
      <c r="H34" s="54"/>
    </row>
    <row r="35" spans="1:8" ht="12.95" customHeight="1" x14ac:dyDescent="0.2">
      <c r="A35" s="50" t="s">
        <v>14</v>
      </c>
      <c r="B35" s="51">
        <f t="shared" si="0"/>
        <v>46080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12</v>
      </c>
      <c r="B36" s="51">
        <f t="shared" si="0"/>
        <v>46081</v>
      </c>
      <c r="C36" s="52"/>
      <c r="D36" s="52"/>
      <c r="E36" s="82"/>
      <c r="F36" s="83"/>
      <c r="G36" s="54"/>
      <c r="H36" s="54"/>
    </row>
    <row r="37" spans="1:8" ht="12.95" customHeight="1" x14ac:dyDescent="0.2">
      <c r="A37" s="50"/>
      <c r="B37" s="51"/>
      <c r="C37" s="52"/>
      <c r="D37" s="52"/>
      <c r="E37" s="82"/>
      <c r="F37" s="83"/>
      <c r="G37" s="54"/>
      <c r="H37" s="54"/>
    </row>
    <row r="38" spans="1:8" ht="12.95" customHeight="1" x14ac:dyDescent="0.2">
      <c r="A38" s="59"/>
      <c r="B38" s="60"/>
      <c r="C38" s="59"/>
      <c r="D38" s="60"/>
      <c r="E38" s="59" t="s">
        <v>18</v>
      </c>
      <c r="F38" s="60"/>
      <c r="G38" s="62" cm="1">
        <f t="array" ref="G38">SUM(HOUR(G9:G37))</f>
        <v>171</v>
      </c>
      <c r="H38" s="61"/>
    </row>
    <row r="39" spans="1:8" ht="12.95" customHeight="1" x14ac:dyDescent="0.2">
      <c r="F39" s="47"/>
      <c r="G39" s="47"/>
      <c r="H39" s="47"/>
    </row>
    <row r="40" spans="1:8" ht="24" x14ac:dyDescent="0.2">
      <c r="A40" s="97" t="s">
        <v>42</v>
      </c>
      <c r="B40" s="98"/>
      <c r="C40" s="66" t="s">
        <v>18</v>
      </c>
      <c r="D40" s="63" t="s">
        <v>60</v>
      </c>
      <c r="F40" s="47"/>
      <c r="G40" s="47"/>
      <c r="H40" s="47"/>
    </row>
    <row r="41" spans="1:8" x14ac:dyDescent="0.2">
      <c r="A41" s="95" t="s">
        <v>43</v>
      </c>
      <c r="B41" s="96"/>
      <c r="C41" s="67">
        <f>G38</f>
        <v>171</v>
      </c>
      <c r="D41" s="67">
        <f>C41/9</f>
        <v>19</v>
      </c>
      <c r="F41" s="47"/>
      <c r="G41" s="47"/>
      <c r="H41" s="47"/>
    </row>
    <row r="42" spans="1:8" x14ac:dyDescent="0.2">
      <c r="A42" s="95" t="s">
        <v>53</v>
      </c>
      <c r="B42" s="96"/>
      <c r="C42" s="68">
        <v>0</v>
      </c>
      <c r="D42" s="68">
        <f>C42/9</f>
        <v>0</v>
      </c>
      <c r="F42" s="47"/>
      <c r="G42" s="47"/>
      <c r="H42" s="47"/>
    </row>
    <row r="43" spans="1:8" ht="24.95" customHeight="1" x14ac:dyDescent="0.2">
      <c r="A43" s="95" t="s">
        <v>76</v>
      </c>
      <c r="B43" s="96"/>
      <c r="C43" s="68">
        <v>0</v>
      </c>
      <c r="D43" s="68">
        <f>C43/9</f>
        <v>0</v>
      </c>
      <c r="F43" s="47"/>
      <c r="G43" s="47"/>
      <c r="H43" s="47"/>
    </row>
    <row r="44" spans="1:8" x14ac:dyDescent="0.2">
      <c r="A44" s="95" t="s">
        <v>45</v>
      </c>
      <c r="B44" s="96"/>
      <c r="C44" s="68">
        <v>0</v>
      </c>
      <c r="D44" s="68">
        <f>C44/9</f>
        <v>0</v>
      </c>
      <c r="F44" s="47"/>
      <c r="G44" s="47"/>
      <c r="H44" s="47"/>
    </row>
    <row r="45" spans="1:8" x14ac:dyDescent="0.2">
      <c r="A45" s="95" t="s">
        <v>44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59</v>
      </c>
      <c r="B46" s="96"/>
      <c r="C46" s="76">
        <f>SUM(C41:C45)</f>
        <v>171</v>
      </c>
      <c r="D46" s="76">
        <f>SUM(D41:D45)</f>
        <v>19</v>
      </c>
    </row>
    <row r="49" spans="1:6" s="53" customFormat="1" x14ac:dyDescent="0.2">
      <c r="A49" s="47"/>
      <c r="B49" s="47"/>
      <c r="C49" s="47"/>
      <c r="D49" s="47"/>
      <c r="E49" s="47"/>
    </row>
    <row r="50" spans="1:6" s="53" customFormat="1" x14ac:dyDescent="0.2">
      <c r="A50" s="77" t="s">
        <v>50</v>
      </c>
      <c r="B50" s="47" t="s">
        <v>48</v>
      </c>
      <c r="C50" s="47"/>
      <c r="D50" s="47"/>
      <c r="E50" s="77" t="s">
        <v>49</v>
      </c>
      <c r="F50" s="47" t="s">
        <v>52</v>
      </c>
    </row>
    <row r="51" spans="1:6" s="53" customFormat="1" x14ac:dyDescent="0.2">
      <c r="A51" s="55"/>
      <c r="B51" s="47"/>
      <c r="C51" s="47"/>
      <c r="D51" s="47"/>
      <c r="E51" s="55"/>
      <c r="F51" s="47"/>
    </row>
    <row r="52" spans="1:6" x14ac:dyDescent="0.2">
      <c r="A52" s="55"/>
      <c r="E52" s="55"/>
      <c r="F52" s="47"/>
    </row>
    <row r="53" spans="1:6" s="53" customFormat="1" x14ac:dyDescent="0.2">
      <c r="A53" s="77" t="s">
        <v>77</v>
      </c>
      <c r="B53" s="47" t="s">
        <v>48</v>
      </c>
      <c r="C53" s="47"/>
      <c r="D53" s="47"/>
      <c r="E53" s="77" t="s">
        <v>51</v>
      </c>
      <c r="F53" s="47" t="s">
        <v>52</v>
      </c>
    </row>
    <row r="54" spans="1:6" s="53" customFormat="1" x14ac:dyDescent="0.2">
      <c r="A54" s="77" t="s">
        <v>37</v>
      </c>
      <c r="B54" s="47" t="s">
        <v>48</v>
      </c>
      <c r="C54" s="47"/>
      <c r="D54" s="47"/>
      <c r="E54" s="77" t="s">
        <v>37</v>
      </c>
      <c r="F54" s="47" t="s">
        <v>52</v>
      </c>
    </row>
    <row r="55" spans="1:6" s="53" customFormat="1" x14ac:dyDescent="0.2">
      <c r="A55" s="47"/>
      <c r="B55" s="47"/>
      <c r="C55" s="47"/>
      <c r="D55" s="47"/>
      <c r="E55" s="47"/>
    </row>
    <row r="56" spans="1:6" s="53" customFormat="1" x14ac:dyDescent="0.2">
      <c r="A56" s="47"/>
      <c r="B56" s="47"/>
      <c r="C56" s="47"/>
      <c r="D56" s="47"/>
      <c r="E56" s="47"/>
    </row>
    <row r="57" spans="1:6" s="53" customFormat="1" ht="23.1" customHeight="1" x14ac:dyDescent="0.2">
      <c r="A57" s="47"/>
      <c r="B57" s="47"/>
      <c r="C57" s="47"/>
      <c r="D57" s="47"/>
      <c r="E57" s="47"/>
    </row>
  </sheetData>
  <mergeCells count="44"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41:B41"/>
    <mergeCell ref="E31:F31"/>
    <mergeCell ref="E32:F32"/>
    <mergeCell ref="E33:F33"/>
    <mergeCell ref="E34:F34"/>
    <mergeCell ref="E35:F35"/>
    <mergeCell ref="E36:F36"/>
    <mergeCell ref="E37:F37"/>
    <mergeCell ref="A40:B40"/>
    <mergeCell ref="A42:B42"/>
    <mergeCell ref="A43:B43"/>
    <mergeCell ref="A44:B44"/>
    <mergeCell ref="A45:B45"/>
    <mergeCell ref="A46:B46"/>
  </mergeCells>
  <conditionalFormatting sqref="A9:A36">
    <cfRule type="expression" dxfId="73" priority="3">
      <formula>$A9:$I9="Weekend"</formula>
    </cfRule>
    <cfRule type="expression" dxfId="72" priority="4">
      <formula>$A9:$I9="Public Holiday"</formula>
    </cfRule>
  </conditionalFormatting>
  <conditionalFormatting sqref="A37">
    <cfRule type="expression" dxfId="71" priority="57">
      <formula>$A40:$I40="Weekend"</formula>
    </cfRule>
    <cfRule type="expression" dxfId="70" priority="58">
      <formula>$A40:$I40="Public Holiday"</formula>
    </cfRule>
  </conditionalFormatting>
  <conditionalFormatting sqref="B9 C9:E36 G9:H37 A10:B12 B13 A14:B14 B15:B36 A37:E37">
    <cfRule type="expression" dxfId="69" priority="5">
      <formula>$A9:$H9="Weekend"</formula>
    </cfRule>
    <cfRule type="expression" dxfId="68" priority="6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9F0CD0-D3DD-634B-909A-E334C9341E35}">
          <x14:formula1>
            <xm:f>Control!$B$2:$B$8</xm:f>
          </x14:formula1>
          <xm:sqref>A9:A37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4CE2-AE65-A546-AE60-F859868A2CF2}">
  <sheetPr>
    <tabColor rgb="FF0070C0"/>
  </sheetPr>
  <dimension ref="A1:H57"/>
  <sheetViews>
    <sheetView view="pageLayout" zoomScale="135" zoomScaleNormal="100" zoomScalePageLayoutView="135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46082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12</v>
      </c>
      <c r="B9" s="51">
        <f>C3</f>
        <v>46082</v>
      </c>
      <c r="C9" s="52"/>
      <c r="D9" s="52"/>
      <c r="E9" s="82"/>
      <c r="F9" s="83"/>
      <c r="G9" s="54" t="str">
        <f>TEXT(D9-C9,"H:MM")</f>
        <v>0:00</v>
      </c>
      <c r="H9" s="54"/>
    </row>
    <row r="10" spans="1:8" ht="12.95" customHeight="1" x14ac:dyDescent="0.2">
      <c r="A10" s="50" t="s">
        <v>14</v>
      </c>
      <c r="B10" s="51">
        <f>SUM(B9+1)</f>
        <v>46083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11</v>
      </c>
      <c r="B11" s="51">
        <f t="shared" ref="B11:B39" si="0">SUM(B10+1)</f>
        <v>46084</v>
      </c>
      <c r="C11" s="52"/>
      <c r="D11" s="52"/>
      <c r="E11" s="82"/>
      <c r="F11" s="83"/>
      <c r="G11" s="54"/>
      <c r="H11" s="54"/>
    </row>
    <row r="12" spans="1:8" ht="12.95" customHeight="1" x14ac:dyDescent="0.2">
      <c r="A12" s="50" t="s">
        <v>14</v>
      </c>
      <c r="B12" s="51">
        <f t="shared" si="0"/>
        <v>46085</v>
      </c>
      <c r="C12" s="52">
        <v>0.375</v>
      </c>
      <c r="D12" s="52">
        <v>0.75</v>
      </c>
      <c r="E12" s="82"/>
      <c r="F12" s="83"/>
      <c r="G12" s="54" t="str">
        <f t="shared" ref="G12:G38" si="1">TEXT(D12-C12,"H:MM")</f>
        <v>9:00</v>
      </c>
      <c r="H12" s="54"/>
    </row>
    <row r="13" spans="1:8" ht="12.95" customHeight="1" x14ac:dyDescent="0.2">
      <c r="A13" s="50" t="s">
        <v>14</v>
      </c>
      <c r="B13" s="51">
        <f t="shared" si="0"/>
        <v>46086</v>
      </c>
      <c r="C13" s="52">
        <v>0.375</v>
      </c>
      <c r="D13" s="52">
        <v>0.75</v>
      </c>
      <c r="E13" s="82"/>
      <c r="F13" s="83"/>
      <c r="G13" s="54" t="str">
        <f t="shared" si="1"/>
        <v>9:00</v>
      </c>
      <c r="H13" s="54"/>
    </row>
    <row r="14" spans="1:8" ht="12.95" customHeight="1" x14ac:dyDescent="0.2">
      <c r="A14" s="50" t="s">
        <v>14</v>
      </c>
      <c r="B14" s="51">
        <f t="shared" si="0"/>
        <v>46087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12</v>
      </c>
      <c r="B15" s="51">
        <f t="shared" si="0"/>
        <v>46088</v>
      </c>
      <c r="C15" s="52"/>
      <c r="D15" s="52"/>
      <c r="E15" s="82"/>
      <c r="F15" s="83"/>
      <c r="G15" s="54"/>
      <c r="H15" s="54"/>
    </row>
    <row r="16" spans="1:8" ht="12.95" customHeight="1" x14ac:dyDescent="0.2">
      <c r="A16" s="50" t="s">
        <v>12</v>
      </c>
      <c r="B16" s="51">
        <f t="shared" si="0"/>
        <v>46089</v>
      </c>
      <c r="C16" s="52"/>
      <c r="D16" s="52"/>
      <c r="E16" s="82"/>
      <c r="F16" s="83"/>
      <c r="G16" s="54"/>
      <c r="H16" s="54"/>
    </row>
    <row r="17" spans="1:8" ht="12.95" customHeight="1" x14ac:dyDescent="0.2">
      <c r="A17" s="50" t="s">
        <v>14</v>
      </c>
      <c r="B17" s="51">
        <f t="shared" si="0"/>
        <v>46090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46091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14</v>
      </c>
      <c r="B19" s="51">
        <f t="shared" si="0"/>
        <v>46092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14</v>
      </c>
      <c r="B20" s="51">
        <f t="shared" si="0"/>
        <v>46093</v>
      </c>
      <c r="C20" s="52">
        <v>0.375</v>
      </c>
      <c r="D20" s="52">
        <v>0.75</v>
      </c>
      <c r="E20" s="82"/>
      <c r="F20" s="83"/>
      <c r="G20" s="54" t="str">
        <f t="shared" si="1"/>
        <v>9:00</v>
      </c>
      <c r="H20" s="54"/>
    </row>
    <row r="21" spans="1:8" ht="12.95" customHeight="1" x14ac:dyDescent="0.2">
      <c r="A21" s="50" t="s">
        <v>14</v>
      </c>
      <c r="B21" s="51">
        <f t="shared" si="0"/>
        <v>46094</v>
      </c>
      <c r="C21" s="52">
        <v>0.375</v>
      </c>
      <c r="D21" s="52">
        <v>0.75</v>
      </c>
      <c r="E21" s="82"/>
      <c r="F21" s="83"/>
      <c r="G21" s="54" t="str">
        <f t="shared" si="1"/>
        <v>9:00</v>
      </c>
      <c r="H21" s="54"/>
    </row>
    <row r="22" spans="1:8" ht="12.95" customHeight="1" x14ac:dyDescent="0.2">
      <c r="A22" s="50" t="s">
        <v>12</v>
      </c>
      <c r="B22" s="51">
        <f t="shared" si="0"/>
        <v>46095</v>
      </c>
      <c r="C22" s="52"/>
      <c r="D22" s="52"/>
      <c r="E22" s="82"/>
      <c r="F22" s="83"/>
      <c r="G22" s="54"/>
      <c r="H22" s="54"/>
    </row>
    <row r="23" spans="1:8" ht="12.95" customHeight="1" x14ac:dyDescent="0.2">
      <c r="A23" s="50" t="s">
        <v>12</v>
      </c>
      <c r="B23" s="51">
        <f t="shared" si="0"/>
        <v>46096</v>
      </c>
      <c r="C23" s="52"/>
      <c r="D23" s="52"/>
      <c r="E23" s="82"/>
      <c r="F23" s="83"/>
      <c r="G23" s="54"/>
      <c r="H23" s="54"/>
    </row>
    <row r="24" spans="1:8" ht="12.95" customHeight="1" x14ac:dyDescent="0.2">
      <c r="A24" s="50" t="s">
        <v>14</v>
      </c>
      <c r="B24" s="51">
        <f t="shared" si="0"/>
        <v>46097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46098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14</v>
      </c>
      <c r="B26" s="51">
        <f t="shared" si="0"/>
        <v>46099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14</v>
      </c>
      <c r="B27" s="51">
        <f t="shared" si="0"/>
        <v>46100</v>
      </c>
      <c r="C27" s="52">
        <v>0.375</v>
      </c>
      <c r="D27" s="52">
        <v>0.75</v>
      </c>
      <c r="E27" s="82"/>
      <c r="F27" s="83"/>
      <c r="G27" s="54" t="str">
        <f t="shared" si="1"/>
        <v>9:00</v>
      </c>
      <c r="H27" s="54"/>
    </row>
    <row r="28" spans="1:8" ht="12.95" customHeight="1" x14ac:dyDescent="0.2">
      <c r="A28" s="50" t="s">
        <v>14</v>
      </c>
      <c r="B28" s="51">
        <f t="shared" si="0"/>
        <v>46101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12</v>
      </c>
      <c r="B29" s="51">
        <f t="shared" si="0"/>
        <v>46102</v>
      </c>
      <c r="C29" s="52"/>
      <c r="D29" s="52"/>
      <c r="E29" s="82"/>
      <c r="F29" s="83"/>
      <c r="G29" s="54"/>
      <c r="H29" s="54"/>
    </row>
    <row r="30" spans="1:8" ht="12.95" customHeight="1" x14ac:dyDescent="0.2">
      <c r="A30" s="50" t="s">
        <v>12</v>
      </c>
      <c r="B30" s="51">
        <f t="shared" si="0"/>
        <v>46103</v>
      </c>
      <c r="C30" s="52"/>
      <c r="D30" s="52"/>
      <c r="E30" s="82"/>
      <c r="F30" s="83"/>
      <c r="G30" s="54"/>
      <c r="H30" s="54"/>
    </row>
    <row r="31" spans="1:8" ht="12.95" customHeight="1" x14ac:dyDescent="0.2">
      <c r="A31" s="50" t="s">
        <v>14</v>
      </c>
      <c r="B31" s="51">
        <f t="shared" si="0"/>
        <v>46104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46105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14</v>
      </c>
      <c r="B33" s="51">
        <f t="shared" si="0"/>
        <v>46106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14</v>
      </c>
      <c r="B34" s="51">
        <f t="shared" si="0"/>
        <v>46107</v>
      </c>
      <c r="C34" s="52">
        <v>0.375</v>
      </c>
      <c r="D34" s="52">
        <v>0.75</v>
      </c>
      <c r="E34" s="82"/>
      <c r="F34" s="83"/>
      <c r="G34" s="54" t="str">
        <f t="shared" si="1"/>
        <v>9:00</v>
      </c>
      <c r="H34" s="54"/>
    </row>
    <row r="35" spans="1:8" ht="12.95" customHeight="1" x14ac:dyDescent="0.2">
      <c r="A35" s="50" t="s">
        <v>14</v>
      </c>
      <c r="B35" s="51">
        <f t="shared" si="0"/>
        <v>46108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12</v>
      </c>
      <c r="B36" s="51">
        <f t="shared" si="0"/>
        <v>46109</v>
      </c>
      <c r="C36" s="52"/>
      <c r="D36" s="52"/>
      <c r="E36" s="82"/>
      <c r="F36" s="83"/>
      <c r="G36" s="54"/>
      <c r="H36" s="54"/>
    </row>
    <row r="37" spans="1:8" ht="12.95" customHeight="1" x14ac:dyDescent="0.2">
      <c r="A37" s="50" t="s">
        <v>12</v>
      </c>
      <c r="B37" s="51">
        <f t="shared" si="0"/>
        <v>46110</v>
      </c>
      <c r="C37" s="52"/>
      <c r="D37" s="52"/>
      <c r="E37" s="82"/>
      <c r="F37" s="83"/>
      <c r="G37" s="54"/>
      <c r="H37" s="54"/>
    </row>
    <row r="38" spans="1:8" ht="12.95" customHeight="1" x14ac:dyDescent="0.2">
      <c r="A38" s="50" t="s">
        <v>14</v>
      </c>
      <c r="B38" s="51">
        <f t="shared" si="0"/>
        <v>46111</v>
      </c>
      <c r="C38" s="52">
        <v>0.375</v>
      </c>
      <c r="D38" s="52">
        <v>0.75</v>
      </c>
      <c r="E38" s="82"/>
      <c r="F38" s="83"/>
      <c r="G38" s="54" t="str">
        <f t="shared" si="1"/>
        <v>9:00</v>
      </c>
      <c r="H38" s="54"/>
    </row>
    <row r="39" spans="1:8" ht="12.95" customHeight="1" x14ac:dyDescent="0.2">
      <c r="A39" s="50" t="s">
        <v>14</v>
      </c>
      <c r="B39" s="51">
        <f t="shared" si="0"/>
        <v>46112</v>
      </c>
      <c r="C39" s="52">
        <v>0.375</v>
      </c>
      <c r="D39" s="52">
        <v>0.75</v>
      </c>
      <c r="E39" s="82"/>
      <c r="F39" s="83"/>
      <c r="G39" s="54" t="str">
        <f>TEXT(D39-C39,"H:MM")</f>
        <v>9:00</v>
      </c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189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189</v>
      </c>
      <c r="D44" s="67">
        <f>C44/9</f>
        <v>21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189</v>
      </c>
      <c r="D49" s="76">
        <f>SUM(D44:D48)</f>
        <v>21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1" spans="1:6" s="53" customFormat="1" x14ac:dyDescent="0.2">
      <c r="A51" s="47"/>
      <c r="B51" s="47"/>
      <c r="C51" s="47"/>
      <c r="D51" s="47"/>
      <c r="E51" s="47"/>
    </row>
    <row r="53" spans="1:6" s="53" customFormat="1" x14ac:dyDescent="0.2">
      <c r="A53" s="77" t="s">
        <v>50</v>
      </c>
      <c r="B53" s="47" t="s">
        <v>48</v>
      </c>
      <c r="C53" s="47"/>
      <c r="D53" s="47"/>
      <c r="E53" s="77" t="s">
        <v>49</v>
      </c>
      <c r="F53" s="47" t="s">
        <v>52</v>
      </c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55"/>
      <c r="B55" s="47"/>
      <c r="C55" s="47"/>
      <c r="D55" s="47"/>
      <c r="E55" s="55"/>
      <c r="F55" s="47"/>
    </row>
    <row r="56" spans="1:6" s="53" customFormat="1" x14ac:dyDescent="0.2">
      <c r="A56" s="77" t="s">
        <v>77</v>
      </c>
      <c r="B56" s="47" t="s">
        <v>48</v>
      </c>
      <c r="C56" s="47"/>
      <c r="D56" s="47"/>
      <c r="E56" s="77" t="s">
        <v>51</v>
      </c>
      <c r="F56" s="47" t="s">
        <v>52</v>
      </c>
    </row>
    <row r="57" spans="1:6" s="53" customFormat="1" ht="23.1" customHeight="1" x14ac:dyDescent="0.2">
      <c r="A57" s="77" t="s">
        <v>37</v>
      </c>
      <c r="B57" s="47" t="s">
        <v>48</v>
      </c>
      <c r="C57" s="47"/>
      <c r="D57" s="47"/>
      <c r="E57" s="77" t="s">
        <v>37</v>
      </c>
      <c r="F57" s="47" t="s">
        <v>52</v>
      </c>
    </row>
  </sheetData>
  <mergeCells count="47"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44:B44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3:B43"/>
    <mergeCell ref="A45:B45"/>
    <mergeCell ref="A46:B46"/>
    <mergeCell ref="A47:B47"/>
    <mergeCell ref="A48:B48"/>
    <mergeCell ref="A49:B49"/>
  </mergeCells>
  <conditionalFormatting sqref="A9:A40">
    <cfRule type="expression" dxfId="67" priority="3">
      <formula>$A9:$I9="Weekend"</formula>
    </cfRule>
    <cfRule type="expression" dxfId="66" priority="4">
      <formula>$A9:$I9="Public Holiday"</formula>
    </cfRule>
  </conditionalFormatting>
  <conditionalFormatting sqref="B9 G9:H40 A10:B12 B13 A14:B14 B15:B39 A40:E40">
    <cfRule type="expression" dxfId="65" priority="5">
      <formula>$A9:$H9="Weekend"</formula>
    </cfRule>
    <cfRule type="expression" dxfId="64" priority="6">
      <formula>$A9:$H9="Public Holiday"</formula>
    </cfRule>
  </conditionalFormatting>
  <conditionalFormatting sqref="C9:E39">
    <cfRule type="expression" dxfId="63" priority="1">
      <formula>$A9:$H9="Weekend"</formula>
    </cfRule>
    <cfRule type="expression" dxfId="62" priority="2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0B2C73-70F3-B241-8D6D-219D77814495}">
          <x14:formula1>
            <xm:f>Control!$B$2:$B$8</xm:f>
          </x14:formula1>
          <xm:sqref>A9:A40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5255-3F21-5E4D-9C32-B19E2E84A136}">
  <sheetPr>
    <tabColor rgb="FF0070C0"/>
  </sheetPr>
  <dimension ref="A1:H56"/>
  <sheetViews>
    <sheetView view="pageLayout" zoomScale="135" zoomScaleNormal="100" zoomScalePageLayoutView="135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46113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14</v>
      </c>
      <c r="B9" s="51">
        <f>C3</f>
        <v>46113</v>
      </c>
      <c r="C9" s="52">
        <v>0.375</v>
      </c>
      <c r="D9" s="52">
        <v>0.75</v>
      </c>
      <c r="E9" s="82"/>
      <c r="F9" s="83"/>
      <c r="G9" s="54" t="str">
        <f>TEXT(D9-C9,"H:MM")</f>
        <v>9:00</v>
      </c>
      <c r="H9" s="54"/>
    </row>
    <row r="10" spans="1:8" ht="12.95" customHeight="1" x14ac:dyDescent="0.2">
      <c r="A10" s="50" t="s">
        <v>14</v>
      </c>
      <c r="B10" s="51">
        <f>SUM(B9+1)</f>
        <v>46114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14</v>
      </c>
      <c r="B11" s="51">
        <f t="shared" ref="B11:B38" si="0">SUM(B10+1)</f>
        <v>46115</v>
      </c>
      <c r="C11" s="52">
        <v>0.375</v>
      </c>
      <c r="D11" s="52">
        <v>0.75</v>
      </c>
      <c r="E11" s="82"/>
      <c r="F11" s="83"/>
      <c r="G11" s="54" t="str">
        <f t="shared" ref="G11:G38" si="1">TEXT(D11-C11,"H:MM")</f>
        <v>9:00</v>
      </c>
      <c r="H11" s="54"/>
    </row>
    <row r="12" spans="1:8" ht="12.95" customHeight="1" x14ac:dyDescent="0.2">
      <c r="A12" s="50" t="s">
        <v>12</v>
      </c>
      <c r="B12" s="51">
        <f t="shared" si="0"/>
        <v>46116</v>
      </c>
      <c r="C12" s="52"/>
      <c r="D12" s="52"/>
      <c r="E12" s="82"/>
      <c r="F12" s="83"/>
      <c r="G12" s="54"/>
      <c r="H12" s="54"/>
    </row>
    <row r="13" spans="1:8" ht="12.95" customHeight="1" x14ac:dyDescent="0.2">
      <c r="A13" s="50" t="s">
        <v>12</v>
      </c>
      <c r="B13" s="51">
        <f t="shared" si="0"/>
        <v>46117</v>
      </c>
      <c r="C13" s="52"/>
      <c r="D13" s="52"/>
      <c r="E13" s="82"/>
      <c r="F13" s="83"/>
      <c r="G13" s="54"/>
      <c r="H13" s="54"/>
    </row>
    <row r="14" spans="1:8" ht="12.95" customHeight="1" x14ac:dyDescent="0.2">
      <c r="A14" s="50" t="s">
        <v>14</v>
      </c>
      <c r="B14" s="51">
        <f t="shared" si="0"/>
        <v>46118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14</v>
      </c>
      <c r="B15" s="51">
        <f t="shared" si="0"/>
        <v>46119</v>
      </c>
      <c r="C15" s="52">
        <v>0.375</v>
      </c>
      <c r="D15" s="52">
        <v>0.75</v>
      </c>
      <c r="E15" s="82"/>
      <c r="F15" s="83"/>
      <c r="G15" s="54" t="str">
        <f t="shared" si="1"/>
        <v>9:00</v>
      </c>
      <c r="H15" s="54"/>
    </row>
    <row r="16" spans="1:8" ht="12.95" customHeight="1" x14ac:dyDescent="0.2">
      <c r="A16" s="50" t="s">
        <v>14</v>
      </c>
      <c r="B16" s="51">
        <f t="shared" si="0"/>
        <v>46120</v>
      </c>
      <c r="C16" s="52">
        <v>0.375</v>
      </c>
      <c r="D16" s="52">
        <v>0.75</v>
      </c>
      <c r="E16" s="82"/>
      <c r="F16" s="83"/>
      <c r="G16" s="54" t="str">
        <f t="shared" si="1"/>
        <v>9:00</v>
      </c>
      <c r="H16" s="54"/>
    </row>
    <row r="17" spans="1:8" ht="12.95" customHeight="1" x14ac:dyDescent="0.2">
      <c r="A17" s="50" t="s">
        <v>14</v>
      </c>
      <c r="B17" s="51">
        <f t="shared" si="0"/>
        <v>46121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46122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12</v>
      </c>
      <c r="B19" s="51">
        <f t="shared" si="0"/>
        <v>46123</v>
      </c>
      <c r="C19" s="52"/>
      <c r="D19" s="52"/>
      <c r="E19" s="82"/>
      <c r="F19" s="83"/>
      <c r="G19" s="54"/>
      <c r="H19" s="54"/>
    </row>
    <row r="20" spans="1:8" ht="12.95" customHeight="1" x14ac:dyDescent="0.2">
      <c r="A20" s="50" t="s">
        <v>12</v>
      </c>
      <c r="B20" s="51">
        <f t="shared" si="0"/>
        <v>46124</v>
      </c>
      <c r="C20" s="52"/>
      <c r="D20" s="52"/>
      <c r="E20" s="82"/>
      <c r="F20" s="83"/>
      <c r="G20" s="54"/>
      <c r="H20" s="54"/>
    </row>
    <row r="21" spans="1:8" ht="12.95" customHeight="1" x14ac:dyDescent="0.2">
      <c r="A21" s="50" t="s">
        <v>11</v>
      </c>
      <c r="B21" s="51">
        <f t="shared" si="0"/>
        <v>46125</v>
      </c>
      <c r="C21" s="52"/>
      <c r="D21" s="52"/>
      <c r="E21" s="82"/>
      <c r="F21" s="83"/>
      <c r="G21" s="54"/>
      <c r="H21" s="54"/>
    </row>
    <row r="22" spans="1:8" ht="12.95" customHeight="1" x14ac:dyDescent="0.2">
      <c r="A22" s="50" t="s">
        <v>11</v>
      </c>
      <c r="B22" s="51">
        <f t="shared" si="0"/>
        <v>46126</v>
      </c>
      <c r="C22" s="52"/>
      <c r="D22" s="52"/>
      <c r="E22" s="82"/>
      <c r="F22" s="83"/>
      <c r="G22" s="54"/>
      <c r="H22" s="54"/>
    </row>
    <row r="23" spans="1:8" ht="12.95" customHeight="1" x14ac:dyDescent="0.2">
      <c r="A23" s="50" t="s">
        <v>11</v>
      </c>
      <c r="B23" s="51">
        <f t="shared" si="0"/>
        <v>46127</v>
      </c>
      <c r="C23" s="52"/>
      <c r="D23" s="52"/>
      <c r="E23" s="82"/>
      <c r="F23" s="83"/>
      <c r="G23" s="54"/>
      <c r="H23" s="54"/>
    </row>
    <row r="24" spans="1:8" ht="12.95" customHeight="1" x14ac:dyDescent="0.2">
      <c r="A24" s="50" t="s">
        <v>14</v>
      </c>
      <c r="B24" s="51">
        <f t="shared" si="0"/>
        <v>46128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46129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12</v>
      </c>
      <c r="B26" s="51">
        <f t="shared" si="0"/>
        <v>46130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12</v>
      </c>
      <c r="B27" s="51">
        <f t="shared" si="0"/>
        <v>46131</v>
      </c>
      <c r="C27" s="52">
        <v>0.375</v>
      </c>
      <c r="D27" s="52">
        <v>0.75</v>
      </c>
      <c r="E27" s="82"/>
      <c r="F27" s="83"/>
      <c r="G27" s="54" t="str">
        <f t="shared" si="1"/>
        <v>9:00</v>
      </c>
      <c r="H27" s="54"/>
    </row>
    <row r="28" spans="1:8" ht="12.95" customHeight="1" x14ac:dyDescent="0.2">
      <c r="A28" s="50" t="s">
        <v>14</v>
      </c>
      <c r="B28" s="51">
        <f t="shared" si="0"/>
        <v>46132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14</v>
      </c>
      <c r="B29" s="51">
        <f t="shared" si="0"/>
        <v>46133</v>
      </c>
      <c r="C29" s="52">
        <v>0.375</v>
      </c>
      <c r="D29" s="52">
        <v>0.75</v>
      </c>
      <c r="E29" s="82"/>
      <c r="F29" s="83"/>
      <c r="G29" s="54" t="str">
        <f t="shared" si="1"/>
        <v>9:00</v>
      </c>
      <c r="H29" s="54"/>
    </row>
    <row r="30" spans="1:8" ht="12.95" customHeight="1" x14ac:dyDescent="0.2">
      <c r="A30" s="50" t="s">
        <v>14</v>
      </c>
      <c r="B30" s="51">
        <f t="shared" si="0"/>
        <v>46134</v>
      </c>
      <c r="C30" s="52">
        <v>0.375</v>
      </c>
      <c r="D30" s="52">
        <v>0.75</v>
      </c>
      <c r="E30" s="82"/>
      <c r="F30" s="83"/>
      <c r="G30" s="54" t="str">
        <f t="shared" si="1"/>
        <v>9:00</v>
      </c>
      <c r="H30" s="54"/>
    </row>
    <row r="31" spans="1:8" ht="12.95" customHeight="1" x14ac:dyDescent="0.2">
      <c r="A31" s="50" t="s">
        <v>14</v>
      </c>
      <c r="B31" s="51">
        <f t="shared" si="0"/>
        <v>46135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46136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12</v>
      </c>
      <c r="B33" s="51">
        <f t="shared" si="0"/>
        <v>46137</v>
      </c>
      <c r="C33" s="52"/>
      <c r="D33" s="52"/>
      <c r="E33" s="82"/>
      <c r="F33" s="83"/>
      <c r="G33" s="54"/>
      <c r="H33" s="54"/>
    </row>
    <row r="34" spans="1:8" ht="12.95" customHeight="1" x14ac:dyDescent="0.2">
      <c r="A34" s="50" t="s">
        <v>12</v>
      </c>
      <c r="B34" s="51">
        <f t="shared" si="0"/>
        <v>46138</v>
      </c>
      <c r="C34" s="52"/>
      <c r="D34" s="52"/>
      <c r="E34" s="82"/>
      <c r="F34" s="83"/>
      <c r="G34" s="54"/>
      <c r="H34" s="54"/>
    </row>
    <row r="35" spans="1:8" ht="12.95" customHeight="1" x14ac:dyDescent="0.2">
      <c r="A35" s="50" t="s">
        <v>14</v>
      </c>
      <c r="B35" s="51">
        <f t="shared" si="0"/>
        <v>46139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14</v>
      </c>
      <c r="B36" s="51">
        <f t="shared" si="0"/>
        <v>46140</v>
      </c>
      <c r="C36" s="52">
        <v>0.375</v>
      </c>
      <c r="D36" s="52">
        <v>0.75</v>
      </c>
      <c r="E36" s="82"/>
      <c r="F36" s="83"/>
      <c r="G36" s="54" t="str">
        <f t="shared" si="1"/>
        <v>9:00</v>
      </c>
      <c r="H36" s="54"/>
    </row>
    <row r="37" spans="1:8" ht="12.95" customHeight="1" x14ac:dyDescent="0.2">
      <c r="A37" s="50" t="s">
        <v>14</v>
      </c>
      <c r="B37" s="51">
        <f t="shared" si="0"/>
        <v>46141</v>
      </c>
      <c r="C37" s="52">
        <v>0.375</v>
      </c>
      <c r="D37" s="52">
        <v>0.75</v>
      </c>
      <c r="E37" s="82"/>
      <c r="F37" s="83"/>
      <c r="G37" s="54" t="str">
        <f t="shared" si="1"/>
        <v>9:00</v>
      </c>
      <c r="H37" s="54"/>
    </row>
    <row r="38" spans="1:8" ht="12.95" customHeight="1" x14ac:dyDescent="0.2">
      <c r="A38" s="50" t="s">
        <v>14</v>
      </c>
      <c r="B38" s="51">
        <f t="shared" si="0"/>
        <v>46142</v>
      </c>
      <c r="C38" s="52">
        <v>0.375</v>
      </c>
      <c r="D38" s="52">
        <v>0.75</v>
      </c>
      <c r="E38" s="82"/>
      <c r="F38" s="83"/>
      <c r="G38" s="54" t="str">
        <f t="shared" si="1"/>
        <v>9:00</v>
      </c>
      <c r="H38" s="54"/>
    </row>
    <row r="39" spans="1:8" x14ac:dyDescent="0.2">
      <c r="A39" s="50"/>
      <c r="B39" s="51"/>
      <c r="C39" s="52"/>
      <c r="D39" s="52"/>
      <c r="E39" s="82"/>
      <c r="F39" s="83"/>
      <c r="G39" s="54"/>
      <c r="H39" s="54"/>
    </row>
    <row r="40" spans="1:8" x14ac:dyDescent="0.2">
      <c r="A40" s="59"/>
      <c r="B40" s="60"/>
      <c r="C40" s="59"/>
      <c r="D40" s="60"/>
      <c r="E40" s="59" t="s">
        <v>18</v>
      </c>
      <c r="F40" s="60"/>
      <c r="G40" s="62" cm="1">
        <f t="array" ref="G40">SUM(HOUR(G9:G39))</f>
        <v>189</v>
      </c>
      <c r="H40" s="61"/>
    </row>
    <row r="41" spans="1:8" x14ac:dyDescent="0.2">
      <c r="F41" s="47"/>
      <c r="G41" s="47"/>
      <c r="H41" s="47"/>
    </row>
    <row r="42" spans="1:8" ht="24.95" customHeight="1" x14ac:dyDescent="0.2">
      <c r="A42" s="97" t="s">
        <v>42</v>
      </c>
      <c r="B42" s="98"/>
      <c r="C42" s="66" t="s">
        <v>18</v>
      </c>
      <c r="D42" s="63" t="s">
        <v>60</v>
      </c>
      <c r="F42" s="47"/>
      <c r="G42" s="47"/>
      <c r="H42" s="47"/>
    </row>
    <row r="43" spans="1:8" x14ac:dyDescent="0.2">
      <c r="A43" s="95" t="s">
        <v>43</v>
      </c>
      <c r="B43" s="96"/>
      <c r="C43" s="67">
        <f>G40</f>
        <v>189</v>
      </c>
      <c r="D43" s="67">
        <f>C43/9</f>
        <v>21</v>
      </c>
      <c r="F43" s="47"/>
      <c r="G43" s="47"/>
      <c r="H43" s="47"/>
    </row>
    <row r="44" spans="1:8" x14ac:dyDescent="0.2">
      <c r="A44" s="95" t="s">
        <v>53</v>
      </c>
      <c r="B44" s="96"/>
      <c r="C44" s="68">
        <v>0</v>
      </c>
      <c r="D44" s="68">
        <f>C44/9</f>
        <v>0</v>
      </c>
      <c r="F44" s="47"/>
      <c r="G44" s="47"/>
      <c r="H44" s="47"/>
    </row>
    <row r="45" spans="1:8" x14ac:dyDescent="0.2">
      <c r="A45" s="95" t="s">
        <v>76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45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44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s="53" customFormat="1" x14ac:dyDescent="0.2">
      <c r="A48" s="95" t="s">
        <v>59</v>
      </c>
      <c r="B48" s="96"/>
      <c r="C48" s="76">
        <f>SUM(C43:C47)</f>
        <v>189</v>
      </c>
      <c r="D48" s="76">
        <f>SUM(D43:D47)</f>
        <v>21</v>
      </c>
      <c r="E48" s="47"/>
    </row>
    <row r="49" spans="1:6" s="53" customFormat="1" x14ac:dyDescent="0.2">
      <c r="A49" s="47"/>
      <c r="B49" s="47"/>
      <c r="C49" s="47"/>
      <c r="D49" s="47"/>
      <c r="E49" s="47"/>
    </row>
    <row r="50" spans="1:6" s="53" customFormat="1" x14ac:dyDescent="0.2">
      <c r="A50" s="47"/>
      <c r="B50" s="47"/>
      <c r="C50" s="47"/>
      <c r="D50" s="47"/>
      <c r="E50" s="47"/>
    </row>
    <row r="52" spans="1:6" s="53" customFormat="1" x14ac:dyDescent="0.2">
      <c r="A52" s="77" t="s">
        <v>50</v>
      </c>
      <c r="B52" s="47" t="s">
        <v>48</v>
      </c>
      <c r="C52" s="47"/>
      <c r="D52" s="47"/>
      <c r="E52" s="77" t="s">
        <v>49</v>
      </c>
      <c r="F52" s="47" t="s">
        <v>52</v>
      </c>
    </row>
    <row r="53" spans="1:6" s="53" customFormat="1" x14ac:dyDescent="0.2">
      <c r="A53" s="55"/>
      <c r="B53" s="47"/>
      <c r="C53" s="47"/>
      <c r="D53" s="47"/>
      <c r="E53" s="55"/>
      <c r="F53" s="47"/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77" t="s">
        <v>77</v>
      </c>
      <c r="B55" s="47" t="s">
        <v>48</v>
      </c>
      <c r="C55" s="47"/>
      <c r="D55" s="47"/>
      <c r="E55" s="77" t="s">
        <v>51</v>
      </c>
      <c r="F55" s="47" t="s">
        <v>52</v>
      </c>
    </row>
    <row r="56" spans="1:6" s="53" customFormat="1" ht="23.1" customHeight="1" x14ac:dyDescent="0.2">
      <c r="A56" s="77" t="s">
        <v>37</v>
      </c>
      <c r="B56" s="47" t="s">
        <v>48</v>
      </c>
      <c r="C56" s="47"/>
      <c r="D56" s="47"/>
      <c r="E56" s="77" t="s">
        <v>37</v>
      </c>
      <c r="F56" s="47" t="s">
        <v>52</v>
      </c>
    </row>
  </sheetData>
  <mergeCells count="46"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43:B43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A42:B42"/>
    <mergeCell ref="A44:B44"/>
    <mergeCell ref="A45:B45"/>
    <mergeCell ref="A46:B46"/>
    <mergeCell ref="A47:B47"/>
    <mergeCell ref="A48:B48"/>
  </mergeCells>
  <conditionalFormatting sqref="A9:A39">
    <cfRule type="expression" dxfId="61" priority="3">
      <formula>$A9:$I9="Weekend"</formula>
    </cfRule>
    <cfRule type="expression" dxfId="60" priority="4">
      <formula>$A9:$I9="Public Holiday"</formula>
    </cfRule>
  </conditionalFormatting>
  <conditionalFormatting sqref="B9 C9:E38 G9:H39 A10:B12 B13 A14:B14 B15:B38 A39:E39">
    <cfRule type="expression" dxfId="59" priority="5">
      <formula>$A9:$H9="Weekend"</formula>
    </cfRule>
    <cfRule type="expression" dxfId="58" priority="6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614BC5-8D57-774E-B826-F745B5755426}">
          <x14:formula1>
            <xm:f>Control!$B$2:$B$8</xm:f>
          </x14:formula1>
          <xm:sqref>A9:A39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80E-5AD8-A247-960C-6EA82089619C}">
  <sheetPr>
    <tabColor rgb="FF0070C0"/>
  </sheetPr>
  <dimension ref="A1:H57"/>
  <sheetViews>
    <sheetView view="pageLayout" zoomScale="135" zoomScaleNormal="100" zoomScalePageLayoutView="135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46143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11</v>
      </c>
      <c r="B9" s="51">
        <f>C3</f>
        <v>46143</v>
      </c>
      <c r="C9" s="52"/>
      <c r="D9" s="52"/>
      <c r="E9" s="82"/>
      <c r="F9" s="83"/>
      <c r="G9" s="54" t="str">
        <f>TEXT(D9-C9,"H:MM")</f>
        <v>0:00</v>
      </c>
      <c r="H9" s="54"/>
    </row>
    <row r="10" spans="1:8" ht="12.95" customHeight="1" x14ac:dyDescent="0.2">
      <c r="A10" s="50" t="s">
        <v>12</v>
      </c>
      <c r="B10" s="51">
        <f>SUM(B9+1)</f>
        <v>46144</v>
      </c>
      <c r="C10" s="52"/>
      <c r="D10" s="52"/>
      <c r="E10" s="82"/>
      <c r="F10" s="83"/>
      <c r="G10" s="54" t="str">
        <f>TEXT(D10-C10,"H:MM")</f>
        <v>0:00</v>
      </c>
      <c r="H10" s="54"/>
    </row>
    <row r="11" spans="1:8" ht="12.95" customHeight="1" x14ac:dyDescent="0.2">
      <c r="A11" s="50" t="s">
        <v>12</v>
      </c>
      <c r="B11" s="51">
        <f t="shared" ref="B11:B39" si="0">SUM(B10+1)</f>
        <v>46145</v>
      </c>
      <c r="C11" s="52"/>
      <c r="D11" s="52"/>
      <c r="E11" s="82"/>
      <c r="F11" s="83"/>
      <c r="G11" s="54" t="str">
        <f t="shared" ref="G11:G38" si="1">TEXT(D11-C11,"H:MM")</f>
        <v>0:00</v>
      </c>
      <c r="H11" s="54"/>
    </row>
    <row r="12" spans="1:8" ht="12.95" customHeight="1" x14ac:dyDescent="0.2">
      <c r="A12" s="50" t="s">
        <v>11</v>
      </c>
      <c r="B12" s="51">
        <f t="shared" si="0"/>
        <v>46146</v>
      </c>
      <c r="C12" s="52"/>
      <c r="D12" s="52"/>
      <c r="E12" s="82"/>
      <c r="F12" s="83"/>
      <c r="G12" s="54" t="str">
        <f t="shared" si="1"/>
        <v>0:00</v>
      </c>
      <c r="H12" s="54"/>
    </row>
    <row r="13" spans="1:8" ht="12.95" customHeight="1" x14ac:dyDescent="0.2">
      <c r="A13" s="50" t="s">
        <v>14</v>
      </c>
      <c r="B13" s="51">
        <f t="shared" si="0"/>
        <v>46147</v>
      </c>
      <c r="C13" s="52">
        <v>0.375</v>
      </c>
      <c r="D13" s="52">
        <v>0.75</v>
      </c>
      <c r="E13" s="82"/>
      <c r="F13" s="83"/>
      <c r="G13" s="54" t="str">
        <f t="shared" si="1"/>
        <v>9:00</v>
      </c>
      <c r="H13" s="54"/>
    </row>
    <row r="14" spans="1:8" ht="12.95" customHeight="1" x14ac:dyDescent="0.2">
      <c r="A14" s="50" t="s">
        <v>14</v>
      </c>
      <c r="B14" s="51">
        <f t="shared" si="0"/>
        <v>46148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14</v>
      </c>
      <c r="B15" s="51">
        <f t="shared" si="0"/>
        <v>46149</v>
      </c>
      <c r="C15" s="52">
        <v>0.375</v>
      </c>
      <c r="D15" s="52">
        <v>0.75</v>
      </c>
      <c r="E15" s="82"/>
      <c r="F15" s="83"/>
      <c r="G15" s="54" t="str">
        <f t="shared" si="1"/>
        <v>9:00</v>
      </c>
      <c r="H15" s="54"/>
    </row>
    <row r="16" spans="1:8" ht="12.95" customHeight="1" x14ac:dyDescent="0.2">
      <c r="A16" s="50" t="s">
        <v>14</v>
      </c>
      <c r="B16" s="51">
        <f t="shared" si="0"/>
        <v>46150</v>
      </c>
      <c r="C16" s="52">
        <v>0.375</v>
      </c>
      <c r="D16" s="52">
        <v>0.75</v>
      </c>
      <c r="E16" s="82"/>
      <c r="F16" s="83"/>
      <c r="G16" s="54" t="str">
        <f t="shared" si="1"/>
        <v>9:00</v>
      </c>
      <c r="H16" s="54"/>
    </row>
    <row r="17" spans="1:8" ht="12.95" customHeight="1" x14ac:dyDescent="0.2">
      <c r="A17" s="50" t="s">
        <v>12</v>
      </c>
      <c r="B17" s="51">
        <f t="shared" si="0"/>
        <v>46151</v>
      </c>
      <c r="C17" s="52"/>
      <c r="D17" s="52"/>
      <c r="E17" s="82"/>
      <c r="F17" s="83"/>
      <c r="G17" s="54" t="str">
        <f t="shared" si="1"/>
        <v>0:00</v>
      </c>
      <c r="H17" s="54"/>
    </row>
    <row r="18" spans="1:8" ht="12.95" customHeight="1" x14ac:dyDescent="0.2">
      <c r="A18" s="50" t="s">
        <v>12</v>
      </c>
      <c r="B18" s="51">
        <f t="shared" si="0"/>
        <v>46152</v>
      </c>
      <c r="C18" s="52"/>
      <c r="D18" s="52"/>
      <c r="E18" s="82"/>
      <c r="F18" s="83"/>
      <c r="G18" s="54" t="str">
        <f t="shared" si="1"/>
        <v>0:00</v>
      </c>
      <c r="H18" s="54"/>
    </row>
    <row r="19" spans="1:8" ht="12.95" customHeight="1" x14ac:dyDescent="0.2">
      <c r="A19" s="50" t="s">
        <v>14</v>
      </c>
      <c r="B19" s="51">
        <f t="shared" si="0"/>
        <v>46153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14</v>
      </c>
      <c r="B20" s="51">
        <f t="shared" si="0"/>
        <v>46154</v>
      </c>
      <c r="C20" s="52">
        <v>0.375</v>
      </c>
      <c r="D20" s="52">
        <v>0.75</v>
      </c>
      <c r="E20" s="82"/>
      <c r="F20" s="83"/>
      <c r="G20" s="54" t="str">
        <f t="shared" si="1"/>
        <v>9:00</v>
      </c>
      <c r="H20" s="54"/>
    </row>
    <row r="21" spans="1:8" ht="12.95" customHeight="1" x14ac:dyDescent="0.2">
      <c r="A21" s="50" t="s">
        <v>14</v>
      </c>
      <c r="B21" s="51">
        <f t="shared" si="0"/>
        <v>46155</v>
      </c>
      <c r="C21" s="52">
        <v>0.375</v>
      </c>
      <c r="D21" s="52">
        <v>0.75</v>
      </c>
      <c r="E21" s="82"/>
      <c r="F21" s="83"/>
      <c r="G21" s="54" t="str">
        <f t="shared" si="1"/>
        <v>9:00</v>
      </c>
      <c r="H21" s="54"/>
    </row>
    <row r="22" spans="1:8" ht="12.95" customHeight="1" x14ac:dyDescent="0.2">
      <c r="A22" s="50" t="s">
        <v>14</v>
      </c>
      <c r="B22" s="51">
        <f t="shared" si="0"/>
        <v>46156</v>
      </c>
      <c r="C22" s="52">
        <v>0.375</v>
      </c>
      <c r="D22" s="52">
        <v>0.75</v>
      </c>
      <c r="E22" s="82"/>
      <c r="F22" s="83"/>
      <c r="G22" s="54" t="str">
        <f t="shared" si="1"/>
        <v>9:00</v>
      </c>
      <c r="H22" s="54"/>
    </row>
    <row r="23" spans="1:8" ht="12.95" customHeight="1" x14ac:dyDescent="0.2">
      <c r="A23" s="50" t="s">
        <v>14</v>
      </c>
      <c r="B23" s="51">
        <f t="shared" si="0"/>
        <v>46157</v>
      </c>
      <c r="C23" s="52">
        <v>0.375</v>
      </c>
      <c r="D23" s="52">
        <v>0.75</v>
      </c>
      <c r="E23" s="82"/>
      <c r="F23" s="83"/>
      <c r="G23" s="54" t="str">
        <f t="shared" si="1"/>
        <v>9:00</v>
      </c>
      <c r="H23" s="54"/>
    </row>
    <row r="24" spans="1:8" ht="12.95" customHeight="1" x14ac:dyDescent="0.2">
      <c r="A24" s="50" t="s">
        <v>12</v>
      </c>
      <c r="B24" s="51">
        <f t="shared" si="0"/>
        <v>46158</v>
      </c>
      <c r="C24" s="52"/>
      <c r="D24" s="52"/>
      <c r="E24" s="82"/>
      <c r="F24" s="83"/>
      <c r="G24" s="54" t="str">
        <f t="shared" si="1"/>
        <v>0:00</v>
      </c>
      <c r="H24" s="54"/>
    </row>
    <row r="25" spans="1:8" ht="12.95" customHeight="1" x14ac:dyDescent="0.2">
      <c r="A25" s="50" t="s">
        <v>12</v>
      </c>
      <c r="B25" s="51">
        <f t="shared" si="0"/>
        <v>46159</v>
      </c>
      <c r="C25" s="52"/>
      <c r="D25" s="52"/>
      <c r="E25" s="82"/>
      <c r="F25" s="83"/>
      <c r="G25" s="54" t="str">
        <f t="shared" si="1"/>
        <v>0:00</v>
      </c>
      <c r="H25" s="54"/>
    </row>
    <row r="26" spans="1:8" ht="12.95" customHeight="1" x14ac:dyDescent="0.2">
      <c r="A26" s="50" t="s">
        <v>14</v>
      </c>
      <c r="B26" s="51">
        <f t="shared" si="0"/>
        <v>46160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14</v>
      </c>
      <c r="B27" s="51">
        <f t="shared" si="0"/>
        <v>46161</v>
      </c>
      <c r="C27" s="52">
        <v>0.375</v>
      </c>
      <c r="D27" s="52">
        <v>0.75</v>
      </c>
      <c r="E27" s="82"/>
      <c r="F27" s="83"/>
      <c r="G27" s="54" t="str">
        <f t="shared" si="1"/>
        <v>9:00</v>
      </c>
      <c r="H27" s="54"/>
    </row>
    <row r="28" spans="1:8" ht="12.95" customHeight="1" x14ac:dyDescent="0.2">
      <c r="A28" s="50" t="s">
        <v>14</v>
      </c>
      <c r="B28" s="51">
        <f t="shared" si="0"/>
        <v>46162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14</v>
      </c>
      <c r="B29" s="51">
        <f t="shared" si="0"/>
        <v>46163</v>
      </c>
      <c r="C29" s="52">
        <v>0.375</v>
      </c>
      <c r="D29" s="52">
        <v>0.75</v>
      </c>
      <c r="E29" s="82"/>
      <c r="F29" s="83"/>
      <c r="G29" s="54" t="str">
        <f t="shared" si="1"/>
        <v>9:00</v>
      </c>
      <c r="H29" s="54"/>
    </row>
    <row r="30" spans="1:8" ht="12.95" customHeight="1" x14ac:dyDescent="0.2">
      <c r="A30" s="50" t="s">
        <v>14</v>
      </c>
      <c r="B30" s="51">
        <f t="shared" si="0"/>
        <v>46164</v>
      </c>
      <c r="C30" s="52">
        <v>0.375</v>
      </c>
      <c r="D30" s="52">
        <v>0.75</v>
      </c>
      <c r="E30" s="82"/>
      <c r="F30" s="83"/>
      <c r="G30" s="54" t="str">
        <f t="shared" si="1"/>
        <v>9:00</v>
      </c>
      <c r="H30" s="54"/>
    </row>
    <row r="31" spans="1:8" ht="12.95" customHeight="1" x14ac:dyDescent="0.2">
      <c r="A31" s="50" t="s">
        <v>12</v>
      </c>
      <c r="B31" s="51">
        <f t="shared" si="0"/>
        <v>46165</v>
      </c>
      <c r="C31" s="52"/>
      <c r="D31" s="52"/>
      <c r="E31" s="82"/>
      <c r="F31" s="83"/>
      <c r="G31" s="54" t="str">
        <f t="shared" si="1"/>
        <v>0:00</v>
      </c>
      <c r="H31" s="54"/>
    </row>
    <row r="32" spans="1:8" ht="12.95" customHeight="1" x14ac:dyDescent="0.2">
      <c r="A32" s="50" t="s">
        <v>12</v>
      </c>
      <c r="B32" s="51">
        <f t="shared" si="0"/>
        <v>46166</v>
      </c>
      <c r="C32" s="52"/>
      <c r="D32" s="52"/>
      <c r="E32" s="82"/>
      <c r="F32" s="83"/>
      <c r="G32" s="54" t="str">
        <f t="shared" si="1"/>
        <v>0:00</v>
      </c>
      <c r="H32" s="54"/>
    </row>
    <row r="33" spans="1:8" ht="12.95" customHeight="1" x14ac:dyDescent="0.2">
      <c r="A33" s="50" t="s">
        <v>14</v>
      </c>
      <c r="B33" s="51">
        <f t="shared" si="0"/>
        <v>46167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14</v>
      </c>
      <c r="B34" s="51">
        <f t="shared" si="0"/>
        <v>46168</v>
      </c>
      <c r="C34" s="52">
        <v>0.375</v>
      </c>
      <c r="D34" s="52">
        <v>0.75</v>
      </c>
      <c r="E34" s="82"/>
      <c r="F34" s="83"/>
      <c r="G34" s="54" t="str">
        <f t="shared" si="1"/>
        <v>9:00</v>
      </c>
      <c r="H34" s="54"/>
    </row>
    <row r="35" spans="1:8" ht="12.95" customHeight="1" x14ac:dyDescent="0.2">
      <c r="A35" s="50" t="s">
        <v>14</v>
      </c>
      <c r="B35" s="51">
        <f t="shared" si="0"/>
        <v>46169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14</v>
      </c>
      <c r="B36" s="51">
        <f t="shared" si="0"/>
        <v>46170</v>
      </c>
      <c r="C36" s="52">
        <v>0.375</v>
      </c>
      <c r="D36" s="52">
        <v>0.75</v>
      </c>
      <c r="E36" s="82"/>
      <c r="F36" s="83"/>
      <c r="G36" s="54" t="str">
        <f t="shared" si="1"/>
        <v>9:00</v>
      </c>
      <c r="H36" s="54"/>
    </row>
    <row r="37" spans="1:8" ht="12.95" customHeight="1" x14ac:dyDescent="0.2">
      <c r="A37" s="50" t="s">
        <v>14</v>
      </c>
      <c r="B37" s="51">
        <f t="shared" si="0"/>
        <v>46171</v>
      </c>
      <c r="C37" s="52">
        <v>0.375</v>
      </c>
      <c r="D37" s="52">
        <v>0.75</v>
      </c>
      <c r="E37" s="82"/>
      <c r="F37" s="83"/>
      <c r="G37" s="54" t="str">
        <f t="shared" si="1"/>
        <v>9:00</v>
      </c>
      <c r="H37" s="54"/>
    </row>
    <row r="38" spans="1:8" ht="12.95" customHeight="1" x14ac:dyDescent="0.2">
      <c r="A38" s="50" t="s">
        <v>12</v>
      </c>
      <c r="B38" s="51">
        <f t="shared" si="0"/>
        <v>46172</v>
      </c>
      <c r="C38" s="52"/>
      <c r="D38" s="52"/>
      <c r="E38" s="82"/>
      <c r="F38" s="83"/>
      <c r="G38" s="54" t="str">
        <f t="shared" si="1"/>
        <v>0:00</v>
      </c>
      <c r="H38" s="54"/>
    </row>
    <row r="39" spans="1:8" ht="12.95" customHeight="1" x14ac:dyDescent="0.2">
      <c r="A39" s="50" t="s">
        <v>12</v>
      </c>
      <c r="B39" s="51">
        <f t="shared" si="0"/>
        <v>46173</v>
      </c>
      <c r="C39" s="52"/>
      <c r="D39" s="52"/>
      <c r="E39" s="82"/>
      <c r="F39" s="83"/>
      <c r="G39" s="54" t="str">
        <f>TEXT(D39-C39,"H:MM")</f>
        <v>0:00</v>
      </c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171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171</v>
      </c>
      <c r="D44" s="67">
        <f>C44/9</f>
        <v>19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171</v>
      </c>
      <c r="D49" s="76">
        <f>SUM(D44:D48)</f>
        <v>19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1" spans="1:6" s="53" customFormat="1" x14ac:dyDescent="0.2">
      <c r="A51" s="47"/>
      <c r="B51" s="47"/>
      <c r="C51" s="47"/>
      <c r="D51" s="47"/>
      <c r="E51" s="47"/>
    </row>
    <row r="53" spans="1:6" s="53" customFormat="1" x14ac:dyDescent="0.2">
      <c r="A53" s="77" t="s">
        <v>50</v>
      </c>
      <c r="B53" s="47" t="s">
        <v>48</v>
      </c>
      <c r="C53" s="47"/>
      <c r="D53" s="47"/>
      <c r="E53" s="77" t="s">
        <v>49</v>
      </c>
      <c r="F53" s="47" t="s">
        <v>52</v>
      </c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55"/>
      <c r="B55" s="47"/>
      <c r="C55" s="47"/>
      <c r="D55" s="47"/>
      <c r="E55" s="55"/>
      <c r="F55" s="47"/>
    </row>
    <row r="56" spans="1:6" s="53" customFormat="1" x14ac:dyDescent="0.2">
      <c r="A56" s="77" t="s">
        <v>77</v>
      </c>
      <c r="B56" s="47" t="s">
        <v>48</v>
      </c>
      <c r="C56" s="47"/>
      <c r="D56" s="47"/>
      <c r="E56" s="77" t="s">
        <v>51</v>
      </c>
      <c r="F56" s="47" t="s">
        <v>52</v>
      </c>
    </row>
    <row r="57" spans="1:6" s="53" customFormat="1" ht="23.1" customHeight="1" x14ac:dyDescent="0.2">
      <c r="A57" s="77" t="s">
        <v>37</v>
      </c>
      <c r="B57" s="47" t="s">
        <v>48</v>
      </c>
      <c r="C57" s="47"/>
      <c r="D57" s="47"/>
      <c r="E57" s="77" t="s">
        <v>37</v>
      </c>
      <c r="F57" s="47" t="s">
        <v>52</v>
      </c>
    </row>
  </sheetData>
  <mergeCells count="47"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44:B44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3:B43"/>
    <mergeCell ref="A45:B45"/>
    <mergeCell ref="A46:B46"/>
    <mergeCell ref="A47:B47"/>
    <mergeCell ref="A48:B48"/>
    <mergeCell ref="A49:B49"/>
  </mergeCells>
  <conditionalFormatting sqref="A9:A40">
    <cfRule type="expression" dxfId="57" priority="3">
      <formula>$A9:$I9="Weekend"</formula>
    </cfRule>
    <cfRule type="expression" dxfId="56" priority="4">
      <formula>$A9:$I9="Public Holiday"</formula>
    </cfRule>
  </conditionalFormatting>
  <conditionalFormatting sqref="B9 G9:H40 A10:B12 B13 A14:B14 B15:B39 A40:E40">
    <cfRule type="expression" dxfId="55" priority="5">
      <formula>$A9:$H9="Weekend"</formula>
    </cfRule>
    <cfRule type="expression" dxfId="54" priority="6">
      <formula>$A9:$H9="Public Holiday"</formula>
    </cfRule>
  </conditionalFormatting>
  <conditionalFormatting sqref="C9:E39">
    <cfRule type="expression" dxfId="53" priority="1">
      <formula>$A9:$H9="Weekend"</formula>
    </cfRule>
    <cfRule type="expression" dxfId="52" priority="2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FE7D34-68E3-E84B-AACB-47186F7C7D6C}">
          <x14:formula1>
            <xm:f>Control!$B$2:$B$8</xm:f>
          </x14:formula1>
          <xm:sqref>A9:A40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8B46-71DC-8444-A573-0AED8B61FAA3}">
  <sheetPr>
    <tabColor rgb="FF0070C0"/>
  </sheetPr>
  <dimension ref="A1:H55"/>
  <sheetViews>
    <sheetView showWhiteSpace="0" view="pageLayout" zoomScale="130" zoomScaleNormal="100" zoomScalePageLayoutView="130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4" width="7.2851562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46174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11</v>
      </c>
      <c r="B9" s="51">
        <f>C3</f>
        <v>46174</v>
      </c>
      <c r="C9" s="52"/>
      <c r="D9" s="52"/>
      <c r="E9" s="82"/>
      <c r="F9" s="83"/>
      <c r="G9" s="54" t="str">
        <f t="shared" ref="G9:G38" si="0">TEXT(D9-C9,"H:MM")</f>
        <v>0:00</v>
      </c>
      <c r="H9" s="54"/>
    </row>
    <row r="10" spans="1:8" ht="12.95" customHeight="1" x14ac:dyDescent="0.2">
      <c r="A10" s="50" t="s">
        <v>14</v>
      </c>
      <c r="B10" s="51">
        <f>SUM(B9+1)</f>
        <v>46175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11</v>
      </c>
      <c r="B11" s="51">
        <f t="shared" ref="B11:B38" si="1">SUM(B10+1)</f>
        <v>46176</v>
      </c>
      <c r="C11" s="52"/>
      <c r="D11" s="52"/>
      <c r="E11" s="82"/>
      <c r="F11" s="83"/>
      <c r="G11" s="54" t="str">
        <f t="shared" si="0"/>
        <v>0:00</v>
      </c>
      <c r="H11" s="54"/>
    </row>
    <row r="12" spans="1:8" ht="12.95" customHeight="1" x14ac:dyDescent="0.2">
      <c r="A12" s="50" t="s">
        <v>14</v>
      </c>
      <c r="B12" s="51">
        <f t="shared" si="1"/>
        <v>46177</v>
      </c>
      <c r="C12" s="52">
        <v>0.375</v>
      </c>
      <c r="D12" s="52">
        <v>0.75</v>
      </c>
      <c r="E12" s="82"/>
      <c r="F12" s="83"/>
      <c r="G12" s="54" t="str">
        <f t="shared" si="0"/>
        <v>9:00</v>
      </c>
      <c r="H12" s="54"/>
    </row>
    <row r="13" spans="1:8" ht="12.95" customHeight="1" x14ac:dyDescent="0.2">
      <c r="A13" s="50" t="s">
        <v>14</v>
      </c>
      <c r="B13" s="51">
        <f t="shared" si="1"/>
        <v>46178</v>
      </c>
      <c r="C13" s="52">
        <v>0.375</v>
      </c>
      <c r="D13" s="52">
        <v>0.75</v>
      </c>
      <c r="E13" s="82"/>
      <c r="F13" s="83"/>
      <c r="G13" s="54" t="str">
        <f t="shared" si="0"/>
        <v>9:00</v>
      </c>
      <c r="H13" s="54"/>
    </row>
    <row r="14" spans="1:8" ht="12.95" customHeight="1" x14ac:dyDescent="0.2">
      <c r="A14" s="50" t="s">
        <v>12</v>
      </c>
      <c r="B14" s="51">
        <f t="shared" si="1"/>
        <v>46179</v>
      </c>
      <c r="C14" s="52"/>
      <c r="D14" s="52"/>
      <c r="E14" s="82"/>
      <c r="F14" s="83"/>
      <c r="G14" s="54" t="str">
        <f t="shared" si="0"/>
        <v>0:00</v>
      </c>
      <c r="H14" s="54"/>
    </row>
    <row r="15" spans="1:8" ht="12.95" customHeight="1" x14ac:dyDescent="0.2">
      <c r="A15" s="50" t="s">
        <v>12</v>
      </c>
      <c r="B15" s="51">
        <f t="shared" si="1"/>
        <v>46180</v>
      </c>
      <c r="C15" s="52"/>
      <c r="D15" s="52"/>
      <c r="E15" s="82"/>
      <c r="F15" s="83"/>
      <c r="G15" s="54" t="str">
        <f t="shared" si="0"/>
        <v>0:00</v>
      </c>
      <c r="H15" s="54"/>
    </row>
    <row r="16" spans="1:8" ht="12.95" customHeight="1" x14ac:dyDescent="0.2">
      <c r="A16" s="50" t="s">
        <v>14</v>
      </c>
      <c r="B16" s="51">
        <f t="shared" si="1"/>
        <v>46181</v>
      </c>
      <c r="C16" s="52">
        <v>0.375</v>
      </c>
      <c r="D16" s="52">
        <v>0.75</v>
      </c>
      <c r="E16" s="82"/>
      <c r="F16" s="83"/>
      <c r="G16" s="54" t="str">
        <f t="shared" si="0"/>
        <v>9:00</v>
      </c>
      <c r="H16" s="54"/>
    </row>
    <row r="17" spans="1:8" ht="12.95" customHeight="1" x14ac:dyDescent="0.2">
      <c r="A17" s="50" t="s">
        <v>14</v>
      </c>
      <c r="B17" s="51">
        <f t="shared" si="1"/>
        <v>46182</v>
      </c>
      <c r="C17" s="52">
        <v>0.375</v>
      </c>
      <c r="D17" s="52">
        <v>0.75</v>
      </c>
      <c r="E17" s="82"/>
      <c r="F17" s="83"/>
      <c r="G17" s="54" t="str">
        <f t="shared" si="0"/>
        <v>9:00</v>
      </c>
      <c r="H17" s="54"/>
    </row>
    <row r="18" spans="1:8" ht="12.95" customHeight="1" x14ac:dyDescent="0.2">
      <c r="A18" s="50" t="s">
        <v>14</v>
      </c>
      <c r="B18" s="51">
        <f t="shared" si="1"/>
        <v>46183</v>
      </c>
      <c r="C18" s="52">
        <v>0.375</v>
      </c>
      <c r="D18" s="52">
        <v>0.75</v>
      </c>
      <c r="E18" s="82"/>
      <c r="F18" s="83"/>
      <c r="G18" s="54" t="str">
        <f t="shared" si="0"/>
        <v>9:00</v>
      </c>
      <c r="H18" s="54"/>
    </row>
    <row r="19" spans="1:8" ht="12.95" customHeight="1" x14ac:dyDescent="0.2">
      <c r="A19" s="50" t="s">
        <v>14</v>
      </c>
      <c r="B19" s="51">
        <f t="shared" si="1"/>
        <v>46184</v>
      </c>
      <c r="C19" s="52">
        <v>0.375</v>
      </c>
      <c r="D19" s="52">
        <v>0.75</v>
      </c>
      <c r="E19" s="82"/>
      <c r="F19" s="83"/>
      <c r="G19" s="54" t="str">
        <f t="shared" si="0"/>
        <v>9:00</v>
      </c>
      <c r="H19" s="54"/>
    </row>
    <row r="20" spans="1:8" ht="12.95" customHeight="1" x14ac:dyDescent="0.2">
      <c r="A20" s="50" t="s">
        <v>14</v>
      </c>
      <c r="B20" s="51">
        <f t="shared" si="1"/>
        <v>46185</v>
      </c>
      <c r="C20" s="52">
        <v>0.375</v>
      </c>
      <c r="D20" s="52">
        <v>0.75</v>
      </c>
      <c r="E20" s="82"/>
      <c r="F20" s="83"/>
      <c r="G20" s="54" t="str">
        <f t="shared" si="0"/>
        <v>9:00</v>
      </c>
      <c r="H20" s="54"/>
    </row>
    <row r="21" spans="1:8" ht="12.95" customHeight="1" x14ac:dyDescent="0.2">
      <c r="A21" s="50" t="s">
        <v>12</v>
      </c>
      <c r="B21" s="51">
        <f t="shared" si="1"/>
        <v>46186</v>
      </c>
      <c r="C21" s="52"/>
      <c r="D21" s="52"/>
      <c r="E21" s="82"/>
      <c r="F21" s="83"/>
      <c r="G21" s="54" t="str">
        <f t="shared" si="0"/>
        <v>0:00</v>
      </c>
      <c r="H21" s="54"/>
    </row>
    <row r="22" spans="1:8" ht="12.95" customHeight="1" x14ac:dyDescent="0.2">
      <c r="A22" s="50" t="s">
        <v>12</v>
      </c>
      <c r="B22" s="51">
        <f t="shared" si="1"/>
        <v>46187</v>
      </c>
      <c r="C22" s="52"/>
      <c r="D22" s="52"/>
      <c r="E22" s="82"/>
      <c r="F22" s="83"/>
      <c r="G22" s="54" t="str">
        <f t="shared" si="0"/>
        <v>0:00</v>
      </c>
      <c r="H22" s="54"/>
    </row>
    <row r="23" spans="1:8" ht="12.95" customHeight="1" x14ac:dyDescent="0.2">
      <c r="A23" s="50" t="s">
        <v>14</v>
      </c>
      <c r="B23" s="51">
        <f t="shared" si="1"/>
        <v>46188</v>
      </c>
      <c r="C23" s="52">
        <v>0.375</v>
      </c>
      <c r="D23" s="52">
        <v>0.75</v>
      </c>
      <c r="E23" s="82"/>
      <c r="F23" s="83"/>
      <c r="G23" s="54" t="str">
        <f t="shared" si="0"/>
        <v>9:00</v>
      </c>
      <c r="H23" s="54"/>
    </row>
    <row r="24" spans="1:8" ht="12.95" customHeight="1" x14ac:dyDescent="0.2">
      <c r="A24" s="50" t="s">
        <v>14</v>
      </c>
      <c r="B24" s="51">
        <f t="shared" si="1"/>
        <v>46189</v>
      </c>
      <c r="C24" s="52">
        <v>0.375</v>
      </c>
      <c r="D24" s="52">
        <v>0.75</v>
      </c>
      <c r="E24" s="82"/>
      <c r="F24" s="83"/>
      <c r="G24" s="54" t="str">
        <f t="shared" si="0"/>
        <v>9:00</v>
      </c>
      <c r="H24" s="54"/>
    </row>
    <row r="25" spans="1:8" ht="12.95" customHeight="1" x14ac:dyDescent="0.2">
      <c r="A25" s="50" t="s">
        <v>14</v>
      </c>
      <c r="B25" s="51">
        <f t="shared" si="1"/>
        <v>46190</v>
      </c>
      <c r="C25" s="52">
        <v>0.375</v>
      </c>
      <c r="D25" s="52">
        <v>0.75</v>
      </c>
      <c r="E25" s="82"/>
      <c r="F25" s="83"/>
      <c r="G25" s="54" t="str">
        <f t="shared" si="0"/>
        <v>9:00</v>
      </c>
      <c r="H25" s="54"/>
    </row>
    <row r="26" spans="1:8" ht="12.95" customHeight="1" x14ac:dyDescent="0.2">
      <c r="A26" s="50" t="s">
        <v>14</v>
      </c>
      <c r="B26" s="51">
        <f t="shared" si="1"/>
        <v>46191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14</v>
      </c>
      <c r="B27" s="51">
        <f t="shared" si="1"/>
        <v>46192</v>
      </c>
      <c r="C27" s="52">
        <v>0.375</v>
      </c>
      <c r="D27" s="52">
        <v>0.75</v>
      </c>
      <c r="E27" s="82"/>
      <c r="F27" s="83"/>
      <c r="G27" s="54" t="str">
        <f t="shared" si="0"/>
        <v>9:00</v>
      </c>
      <c r="H27" s="54"/>
    </row>
    <row r="28" spans="1:8" ht="12.95" customHeight="1" x14ac:dyDescent="0.2">
      <c r="A28" s="50" t="s">
        <v>12</v>
      </c>
      <c r="B28" s="51">
        <f t="shared" si="1"/>
        <v>46193</v>
      </c>
      <c r="C28" s="52"/>
      <c r="D28" s="52"/>
      <c r="E28" s="82"/>
      <c r="F28" s="83"/>
      <c r="G28" s="54" t="str">
        <f t="shared" si="0"/>
        <v>0:00</v>
      </c>
      <c r="H28" s="54"/>
    </row>
    <row r="29" spans="1:8" ht="12.95" customHeight="1" x14ac:dyDescent="0.2">
      <c r="A29" s="50" t="s">
        <v>12</v>
      </c>
      <c r="B29" s="51">
        <f t="shared" si="1"/>
        <v>46194</v>
      </c>
      <c r="C29" s="52"/>
      <c r="D29" s="52"/>
      <c r="E29" s="82"/>
      <c r="F29" s="83"/>
      <c r="G29" s="54" t="str">
        <f t="shared" si="0"/>
        <v>0:00</v>
      </c>
      <c r="H29" s="54"/>
    </row>
    <row r="30" spans="1:8" ht="12.95" customHeight="1" x14ac:dyDescent="0.2">
      <c r="A30" s="50" t="s">
        <v>14</v>
      </c>
      <c r="B30" s="51">
        <f t="shared" si="1"/>
        <v>46195</v>
      </c>
      <c r="C30" s="52">
        <v>0.375</v>
      </c>
      <c r="D30" s="52">
        <v>0.75</v>
      </c>
      <c r="E30" s="82"/>
      <c r="F30" s="83"/>
      <c r="G30" s="54" t="str">
        <f t="shared" si="0"/>
        <v>9:00</v>
      </c>
      <c r="H30" s="54"/>
    </row>
    <row r="31" spans="1:8" ht="12.95" customHeight="1" x14ac:dyDescent="0.2">
      <c r="A31" s="50" t="s">
        <v>14</v>
      </c>
      <c r="B31" s="51">
        <f t="shared" si="1"/>
        <v>46196</v>
      </c>
      <c r="C31" s="52">
        <v>0.375</v>
      </c>
      <c r="D31" s="52">
        <v>0.75</v>
      </c>
      <c r="E31" s="82"/>
      <c r="F31" s="83"/>
      <c r="G31" s="54" t="str">
        <f t="shared" si="0"/>
        <v>9:00</v>
      </c>
      <c r="H31" s="54"/>
    </row>
    <row r="32" spans="1:8" ht="12.95" customHeight="1" x14ac:dyDescent="0.2">
      <c r="A32" s="50" t="s">
        <v>14</v>
      </c>
      <c r="B32" s="51">
        <f t="shared" si="1"/>
        <v>46197</v>
      </c>
      <c r="C32" s="52">
        <v>0.375</v>
      </c>
      <c r="D32" s="52">
        <v>0.5</v>
      </c>
      <c r="E32" s="82"/>
      <c r="F32" s="83"/>
      <c r="G32" s="54" t="str">
        <f t="shared" si="0"/>
        <v>3:00</v>
      </c>
      <c r="H32" s="54"/>
    </row>
    <row r="33" spans="1:8" ht="12.95" customHeight="1" x14ac:dyDescent="0.2">
      <c r="A33" s="50" t="s">
        <v>14</v>
      </c>
      <c r="B33" s="51">
        <f t="shared" si="1"/>
        <v>46198</v>
      </c>
      <c r="C33" s="52">
        <v>0.375</v>
      </c>
      <c r="D33" s="52">
        <v>0.75</v>
      </c>
      <c r="E33" s="82"/>
      <c r="F33" s="83"/>
      <c r="G33" s="54" t="str">
        <f t="shared" si="0"/>
        <v>9:00</v>
      </c>
      <c r="H33" s="54"/>
    </row>
    <row r="34" spans="1:8" ht="12.95" customHeight="1" x14ac:dyDescent="0.2">
      <c r="A34" s="50" t="s">
        <v>14</v>
      </c>
      <c r="B34" s="51">
        <f t="shared" si="1"/>
        <v>46199</v>
      </c>
      <c r="C34" s="52">
        <v>0.375</v>
      </c>
      <c r="D34" s="52">
        <v>0.75</v>
      </c>
      <c r="E34" s="82"/>
      <c r="F34" s="83"/>
      <c r="G34" s="54" t="str">
        <f t="shared" si="0"/>
        <v>9:00</v>
      </c>
      <c r="H34" s="54"/>
    </row>
    <row r="35" spans="1:8" ht="12.95" customHeight="1" x14ac:dyDescent="0.2">
      <c r="A35" s="50" t="s">
        <v>12</v>
      </c>
      <c r="B35" s="51">
        <f t="shared" si="1"/>
        <v>46200</v>
      </c>
      <c r="C35" s="52"/>
      <c r="D35" s="52"/>
      <c r="E35" s="82"/>
      <c r="F35" s="83"/>
      <c r="G35" s="54" t="str">
        <f t="shared" si="0"/>
        <v>0:00</v>
      </c>
      <c r="H35" s="54"/>
    </row>
    <row r="36" spans="1:8" ht="12.95" customHeight="1" x14ac:dyDescent="0.2">
      <c r="A36" s="50" t="s">
        <v>12</v>
      </c>
      <c r="B36" s="51">
        <f t="shared" si="1"/>
        <v>46201</v>
      </c>
      <c r="C36" s="52"/>
      <c r="D36" s="52"/>
      <c r="E36" s="82"/>
      <c r="F36" s="83"/>
      <c r="G36" s="54" t="str">
        <f t="shared" si="0"/>
        <v>0:00</v>
      </c>
      <c r="H36" s="54"/>
    </row>
    <row r="37" spans="1:8" ht="12.95" customHeight="1" x14ac:dyDescent="0.2">
      <c r="A37" s="50" t="s">
        <v>14</v>
      </c>
      <c r="B37" s="51">
        <f t="shared" si="1"/>
        <v>46202</v>
      </c>
      <c r="C37" s="52">
        <v>0.375</v>
      </c>
      <c r="D37" s="52">
        <v>0.75</v>
      </c>
      <c r="E37" s="82"/>
      <c r="F37" s="83"/>
      <c r="G37" s="54" t="str">
        <f t="shared" si="0"/>
        <v>9:00</v>
      </c>
      <c r="H37" s="54"/>
    </row>
    <row r="38" spans="1:8" ht="12.95" customHeight="1" x14ac:dyDescent="0.2">
      <c r="A38" s="50" t="s">
        <v>14</v>
      </c>
      <c r="B38" s="51">
        <f t="shared" si="1"/>
        <v>46203</v>
      </c>
      <c r="C38" s="52">
        <v>0.375</v>
      </c>
      <c r="D38" s="52">
        <v>0.75</v>
      </c>
      <c r="E38" s="82"/>
      <c r="F38" s="83"/>
      <c r="G38" s="54" t="str">
        <f t="shared" si="0"/>
        <v>9:00</v>
      </c>
      <c r="H38" s="54"/>
    </row>
    <row r="39" spans="1:8" ht="12.95" customHeight="1" x14ac:dyDescent="0.2">
      <c r="A39" s="50"/>
      <c r="B39" s="51"/>
      <c r="C39" s="52"/>
      <c r="D39" s="52"/>
      <c r="E39" s="82"/>
      <c r="F39" s="83"/>
      <c r="G39" s="54"/>
      <c r="H39" s="54"/>
    </row>
    <row r="40" spans="1:8" x14ac:dyDescent="0.2">
      <c r="A40" s="99"/>
      <c r="B40" s="100"/>
      <c r="C40" s="99"/>
      <c r="D40" s="100"/>
      <c r="E40" s="99" t="s">
        <v>18</v>
      </c>
      <c r="F40" s="100"/>
      <c r="G40" s="62" cm="1">
        <f t="array" ref="G40">SUM(HOUR(G9:G39))</f>
        <v>174</v>
      </c>
      <c r="H40" s="61"/>
    </row>
    <row r="41" spans="1:8" x14ac:dyDescent="0.2">
      <c r="F41" s="47"/>
      <c r="G41" s="47"/>
      <c r="H41" s="47"/>
    </row>
    <row r="42" spans="1:8" ht="30" customHeight="1" x14ac:dyDescent="0.2">
      <c r="A42" s="97" t="s">
        <v>42</v>
      </c>
      <c r="B42" s="98"/>
      <c r="C42" s="66" t="s">
        <v>18</v>
      </c>
      <c r="D42" s="63" t="s">
        <v>60</v>
      </c>
      <c r="F42" s="47"/>
      <c r="G42" s="47"/>
      <c r="H42" s="47"/>
    </row>
    <row r="43" spans="1:8" x14ac:dyDescent="0.2">
      <c r="A43" s="95" t="s">
        <v>43</v>
      </c>
      <c r="B43" s="96"/>
      <c r="C43" s="67">
        <f>G40</f>
        <v>174</v>
      </c>
      <c r="D43" s="67">
        <f>C43/9</f>
        <v>19.333333333333332</v>
      </c>
      <c r="F43" s="47"/>
      <c r="G43" s="47"/>
      <c r="H43" s="47"/>
    </row>
    <row r="44" spans="1:8" x14ac:dyDescent="0.2">
      <c r="A44" s="95" t="s">
        <v>53</v>
      </c>
      <c r="B44" s="96"/>
      <c r="C44" s="68">
        <v>9</v>
      </c>
      <c r="D44" s="68">
        <f>C44/9</f>
        <v>1</v>
      </c>
      <c r="F44" s="47"/>
      <c r="G44" s="47"/>
      <c r="H44" s="47"/>
    </row>
    <row r="45" spans="1:8" x14ac:dyDescent="0.2">
      <c r="A45" s="95" t="s">
        <v>76</v>
      </c>
      <c r="B45" s="96"/>
      <c r="C45" s="68">
        <v>0.5</v>
      </c>
      <c r="D45" s="68">
        <f>C45/9</f>
        <v>5.5555555555555552E-2</v>
      </c>
      <c r="F45" s="47"/>
      <c r="G45" s="47"/>
      <c r="H45" s="47"/>
    </row>
    <row r="46" spans="1:8" x14ac:dyDescent="0.2">
      <c r="A46" s="95" t="s">
        <v>45</v>
      </c>
      <c r="B46" s="96"/>
      <c r="C46" s="68">
        <v>9</v>
      </c>
      <c r="D46" s="68">
        <f>C46/9</f>
        <v>1</v>
      </c>
      <c r="F46" s="47"/>
      <c r="G46" s="47"/>
      <c r="H46" s="47"/>
    </row>
    <row r="47" spans="1:8" x14ac:dyDescent="0.2">
      <c r="A47" s="95" t="s">
        <v>44</v>
      </c>
      <c r="B47" s="96"/>
      <c r="C47" s="68"/>
      <c r="D47" s="68">
        <f>C47/9</f>
        <v>0</v>
      </c>
      <c r="F47" s="47"/>
      <c r="G47" s="47"/>
      <c r="H47" s="47"/>
    </row>
    <row r="48" spans="1:8" x14ac:dyDescent="0.2">
      <c r="A48" s="95" t="s">
        <v>59</v>
      </c>
      <c r="B48" s="96"/>
      <c r="C48" s="76">
        <f>SUM(C43:C47)</f>
        <v>192.5</v>
      </c>
      <c r="D48" s="76">
        <f>SUM(D43:D47)</f>
        <v>21.388888888888889</v>
      </c>
    </row>
    <row r="51" spans="1:6" x14ac:dyDescent="0.2">
      <c r="A51" s="77" t="s">
        <v>50</v>
      </c>
      <c r="B51" s="47" t="s">
        <v>48</v>
      </c>
      <c r="E51" s="77" t="s">
        <v>49</v>
      </c>
      <c r="F51" s="47" t="s">
        <v>75</v>
      </c>
    </row>
    <row r="52" spans="1:6" x14ac:dyDescent="0.2">
      <c r="A52" s="55"/>
      <c r="E52" s="55"/>
      <c r="F52" s="47"/>
    </row>
    <row r="53" spans="1:6" x14ac:dyDescent="0.2">
      <c r="A53" s="55"/>
      <c r="E53" s="55"/>
      <c r="F53" s="47"/>
    </row>
    <row r="54" spans="1:6" x14ac:dyDescent="0.2">
      <c r="A54" s="77" t="s">
        <v>77</v>
      </c>
      <c r="B54" s="47" t="s">
        <v>48</v>
      </c>
      <c r="E54" s="77" t="s">
        <v>51</v>
      </c>
      <c r="F54" s="47" t="s">
        <v>75</v>
      </c>
    </row>
    <row r="55" spans="1:6" ht="23.1" customHeight="1" x14ac:dyDescent="0.2">
      <c r="A55" s="77" t="s">
        <v>37</v>
      </c>
      <c r="B55" s="47" t="s">
        <v>48</v>
      </c>
      <c r="E55" s="77" t="s">
        <v>37</v>
      </c>
      <c r="F55" s="47" t="s">
        <v>75</v>
      </c>
    </row>
  </sheetData>
  <mergeCells count="49">
    <mergeCell ref="A42:B42"/>
    <mergeCell ref="A48:B48"/>
    <mergeCell ref="A43:B43"/>
    <mergeCell ref="A44:B44"/>
    <mergeCell ref="A45:B45"/>
    <mergeCell ref="A46:B46"/>
    <mergeCell ref="A47:B47"/>
    <mergeCell ref="H7:H8"/>
    <mergeCell ref="G7:G8"/>
    <mergeCell ref="C3:E3"/>
    <mergeCell ref="A1:A5"/>
    <mergeCell ref="B7:B8"/>
    <mergeCell ref="A7:A8"/>
    <mergeCell ref="C7:D7"/>
    <mergeCell ref="E7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A40:B40"/>
    <mergeCell ref="C40:D40"/>
    <mergeCell ref="E39:F39"/>
    <mergeCell ref="E40:F40"/>
    <mergeCell ref="E34:F34"/>
    <mergeCell ref="E35:F35"/>
    <mergeCell ref="E36:F36"/>
    <mergeCell ref="E37:F37"/>
    <mergeCell ref="E38:F38"/>
  </mergeCells>
  <conditionalFormatting sqref="A18">
    <cfRule type="expression" dxfId="51" priority="1">
      <formula>$A18:$I18="Public Holiday"</formula>
    </cfRule>
    <cfRule type="expression" dxfId="50" priority="2">
      <formula>$A18:$I18="Weekend"</formula>
    </cfRule>
  </conditionalFormatting>
  <conditionalFormatting sqref="A9:E39 G9:H39">
    <cfRule type="expression" dxfId="49" priority="3">
      <formula>$A9:$H9="Weekend"</formula>
    </cfRule>
    <cfRule type="expression" dxfId="48" priority="4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2A99AB-9ED6-FD44-97BB-82A14B421683}">
          <x14:formula1>
            <xm:f>Control!$B$2:$B$8</xm:f>
          </x14:formula1>
          <xm:sqref>A9:A39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EB0D-CA87-9A46-8C7E-86244456E00C}">
  <sheetPr>
    <tabColor rgb="FF0070C0"/>
  </sheetPr>
  <dimension ref="A1:H56"/>
  <sheetViews>
    <sheetView view="pageLayout" zoomScale="117" zoomScaleNormal="100" zoomScalePageLayoutView="117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46204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14</v>
      </c>
      <c r="B9" s="51">
        <f>C3</f>
        <v>46204</v>
      </c>
      <c r="C9" s="52">
        <v>0.375</v>
      </c>
      <c r="D9" s="52">
        <v>0.75</v>
      </c>
      <c r="E9" s="82"/>
      <c r="F9" s="83"/>
      <c r="G9" s="54" t="str">
        <f>TEXT(D9-C9,"H:MM")</f>
        <v>9:00</v>
      </c>
      <c r="H9" s="54"/>
    </row>
    <row r="10" spans="1:8" ht="12.95" customHeight="1" x14ac:dyDescent="0.2">
      <c r="A10" s="50" t="s">
        <v>14</v>
      </c>
      <c r="B10" s="51">
        <f>SUM(B9+1)</f>
        <v>46205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14</v>
      </c>
      <c r="B11" s="51">
        <f t="shared" ref="B11:B39" si="0">SUM(B10+1)</f>
        <v>46206</v>
      </c>
      <c r="C11" s="52">
        <v>0.375</v>
      </c>
      <c r="D11" s="52">
        <v>0.75</v>
      </c>
      <c r="E11" s="82"/>
      <c r="F11" s="83"/>
      <c r="G11" s="54" t="str">
        <f t="shared" ref="G11:G38" si="1">TEXT(D11-C11,"H:MM")</f>
        <v>9:00</v>
      </c>
      <c r="H11" s="54"/>
    </row>
    <row r="12" spans="1:8" ht="12.95" customHeight="1" x14ac:dyDescent="0.2">
      <c r="A12" s="50" t="s">
        <v>12</v>
      </c>
      <c r="B12" s="51">
        <f t="shared" si="0"/>
        <v>46207</v>
      </c>
      <c r="C12" s="52"/>
      <c r="D12" s="52"/>
      <c r="E12" s="82"/>
      <c r="F12" s="83"/>
      <c r="G12" s="54" t="str">
        <f t="shared" si="1"/>
        <v>0:00</v>
      </c>
      <c r="H12" s="54"/>
    </row>
    <row r="13" spans="1:8" ht="12.95" customHeight="1" x14ac:dyDescent="0.2">
      <c r="A13" s="50" t="s">
        <v>12</v>
      </c>
      <c r="B13" s="51">
        <f t="shared" si="0"/>
        <v>46208</v>
      </c>
      <c r="C13" s="52"/>
      <c r="D13" s="52"/>
      <c r="E13" s="82"/>
      <c r="F13" s="83"/>
      <c r="G13" s="54" t="str">
        <f t="shared" si="1"/>
        <v>0:00</v>
      </c>
      <c r="H13" s="54"/>
    </row>
    <row r="14" spans="1:8" ht="12.95" customHeight="1" x14ac:dyDescent="0.2">
      <c r="A14" s="50" t="s">
        <v>14</v>
      </c>
      <c r="B14" s="51">
        <f t="shared" si="0"/>
        <v>46209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14</v>
      </c>
      <c r="B15" s="51">
        <f t="shared" si="0"/>
        <v>46210</v>
      </c>
      <c r="C15" s="52">
        <v>0.375</v>
      </c>
      <c r="D15" s="52">
        <v>0.75</v>
      </c>
      <c r="E15" s="82"/>
      <c r="F15" s="83"/>
      <c r="G15" s="54" t="str">
        <f t="shared" si="1"/>
        <v>9:00</v>
      </c>
      <c r="H15" s="54"/>
    </row>
    <row r="16" spans="1:8" ht="12.95" customHeight="1" x14ac:dyDescent="0.2">
      <c r="A16" s="50" t="s">
        <v>14</v>
      </c>
      <c r="B16" s="51">
        <f t="shared" si="0"/>
        <v>46211</v>
      </c>
      <c r="C16" s="52">
        <v>0.375</v>
      </c>
      <c r="D16" s="52">
        <v>0.75</v>
      </c>
      <c r="E16" s="82"/>
      <c r="F16" s="83"/>
      <c r="G16" s="54" t="str">
        <f t="shared" si="1"/>
        <v>9:00</v>
      </c>
      <c r="H16" s="54"/>
    </row>
    <row r="17" spans="1:8" ht="12.95" customHeight="1" x14ac:dyDescent="0.2">
      <c r="A17" s="50" t="s">
        <v>14</v>
      </c>
      <c r="B17" s="51">
        <f t="shared" si="0"/>
        <v>46212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46213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12</v>
      </c>
      <c r="B19" s="51">
        <f t="shared" si="0"/>
        <v>46214</v>
      </c>
      <c r="C19" s="52"/>
      <c r="D19" s="52"/>
      <c r="E19" s="82"/>
      <c r="F19" s="83"/>
      <c r="G19" s="54" t="str">
        <f t="shared" si="1"/>
        <v>0:00</v>
      </c>
      <c r="H19" s="54"/>
    </row>
    <row r="20" spans="1:8" ht="12.95" customHeight="1" x14ac:dyDescent="0.2">
      <c r="A20" s="50" t="s">
        <v>12</v>
      </c>
      <c r="B20" s="51">
        <f t="shared" si="0"/>
        <v>46215</v>
      </c>
      <c r="C20" s="52"/>
      <c r="D20" s="52"/>
      <c r="E20" s="82"/>
      <c r="F20" s="83"/>
      <c r="G20" s="54" t="str">
        <f t="shared" si="1"/>
        <v>0:00</v>
      </c>
      <c r="H20" s="54"/>
    </row>
    <row r="21" spans="1:8" ht="12.95" customHeight="1" x14ac:dyDescent="0.2">
      <c r="A21" s="50" t="s">
        <v>14</v>
      </c>
      <c r="B21" s="51">
        <f t="shared" si="0"/>
        <v>46216</v>
      </c>
      <c r="C21" s="52">
        <v>0.375</v>
      </c>
      <c r="D21" s="52">
        <v>0.75</v>
      </c>
      <c r="E21" s="82"/>
      <c r="F21" s="83"/>
      <c r="G21" s="54" t="str">
        <f t="shared" si="1"/>
        <v>9:00</v>
      </c>
      <c r="H21" s="54"/>
    </row>
    <row r="22" spans="1:8" ht="12.95" customHeight="1" x14ac:dyDescent="0.2">
      <c r="A22" s="50" t="s">
        <v>14</v>
      </c>
      <c r="B22" s="51">
        <f t="shared" si="0"/>
        <v>46217</v>
      </c>
      <c r="C22" s="52">
        <v>0.375</v>
      </c>
      <c r="D22" s="52">
        <v>0.75</v>
      </c>
      <c r="E22" s="82"/>
      <c r="F22" s="83"/>
      <c r="G22" s="54" t="str">
        <f t="shared" si="1"/>
        <v>9:00</v>
      </c>
      <c r="H22" s="54"/>
    </row>
    <row r="23" spans="1:8" ht="12.95" customHeight="1" x14ac:dyDescent="0.2">
      <c r="A23" s="50" t="s">
        <v>14</v>
      </c>
      <c r="B23" s="51">
        <f t="shared" si="0"/>
        <v>46218</v>
      </c>
      <c r="C23" s="52">
        <v>0.375</v>
      </c>
      <c r="D23" s="52">
        <v>0.75</v>
      </c>
      <c r="E23" s="82"/>
      <c r="F23" s="83"/>
      <c r="G23" s="54" t="str">
        <f t="shared" si="1"/>
        <v>9:00</v>
      </c>
      <c r="H23" s="54"/>
    </row>
    <row r="24" spans="1:8" ht="12.95" customHeight="1" x14ac:dyDescent="0.2">
      <c r="A24" s="50" t="s">
        <v>14</v>
      </c>
      <c r="B24" s="51">
        <f t="shared" si="0"/>
        <v>46219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46220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12</v>
      </c>
      <c r="B26" s="51">
        <f t="shared" si="0"/>
        <v>46221</v>
      </c>
      <c r="C26" s="52"/>
      <c r="D26" s="52"/>
      <c r="E26" s="82"/>
      <c r="F26" s="83"/>
      <c r="G26" s="54" t="str">
        <f>TEXT(D26-C26,"H:MM")</f>
        <v>0:00</v>
      </c>
      <c r="H26" s="54"/>
    </row>
    <row r="27" spans="1:8" ht="12.95" customHeight="1" x14ac:dyDescent="0.2">
      <c r="A27" s="50" t="s">
        <v>12</v>
      </c>
      <c r="B27" s="51">
        <f t="shared" si="0"/>
        <v>46222</v>
      </c>
      <c r="C27" s="52"/>
      <c r="D27" s="52"/>
      <c r="E27" s="82"/>
      <c r="F27" s="83"/>
      <c r="G27" s="54" t="str">
        <f t="shared" si="1"/>
        <v>0:00</v>
      </c>
      <c r="H27" s="54"/>
    </row>
    <row r="28" spans="1:8" ht="12.95" customHeight="1" x14ac:dyDescent="0.2">
      <c r="A28" s="50" t="s">
        <v>14</v>
      </c>
      <c r="B28" s="51">
        <f t="shared" si="0"/>
        <v>46223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14</v>
      </c>
      <c r="B29" s="51">
        <f t="shared" si="0"/>
        <v>46224</v>
      </c>
      <c r="C29" s="52">
        <v>0.375</v>
      </c>
      <c r="D29" s="52">
        <v>0.75</v>
      </c>
      <c r="E29" s="82"/>
      <c r="F29" s="83"/>
      <c r="G29" s="54" t="str">
        <f t="shared" si="1"/>
        <v>9:00</v>
      </c>
      <c r="H29" s="54"/>
    </row>
    <row r="30" spans="1:8" ht="12.95" customHeight="1" x14ac:dyDescent="0.2">
      <c r="A30" s="50" t="s">
        <v>14</v>
      </c>
      <c r="B30" s="51">
        <f t="shared" si="0"/>
        <v>46225</v>
      </c>
      <c r="C30" s="52">
        <v>0.375</v>
      </c>
      <c r="D30" s="52">
        <v>0.75</v>
      </c>
      <c r="E30" s="82"/>
      <c r="F30" s="83"/>
      <c r="G30" s="54" t="str">
        <f t="shared" si="1"/>
        <v>9:00</v>
      </c>
      <c r="H30" s="54"/>
    </row>
    <row r="31" spans="1:8" ht="12.95" customHeight="1" x14ac:dyDescent="0.2">
      <c r="A31" s="50" t="s">
        <v>14</v>
      </c>
      <c r="B31" s="51">
        <f t="shared" si="0"/>
        <v>46226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46227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12</v>
      </c>
      <c r="B33" s="51">
        <f t="shared" si="0"/>
        <v>46228</v>
      </c>
      <c r="C33" s="52"/>
      <c r="D33" s="52"/>
      <c r="E33" s="82"/>
      <c r="F33" s="83"/>
      <c r="G33" s="54" t="str">
        <f t="shared" si="1"/>
        <v>0:00</v>
      </c>
      <c r="H33" s="54"/>
    </row>
    <row r="34" spans="1:8" ht="12.95" customHeight="1" x14ac:dyDescent="0.2">
      <c r="A34" s="50" t="s">
        <v>12</v>
      </c>
      <c r="B34" s="51">
        <f t="shared" si="0"/>
        <v>46229</v>
      </c>
      <c r="C34" s="52"/>
      <c r="D34" s="52"/>
      <c r="E34" s="82"/>
      <c r="F34" s="83"/>
      <c r="G34" s="54" t="str">
        <f t="shared" si="1"/>
        <v>0:00</v>
      </c>
      <c r="H34" s="54"/>
    </row>
    <row r="35" spans="1:8" ht="12.95" customHeight="1" x14ac:dyDescent="0.2">
      <c r="A35" s="50" t="s">
        <v>14</v>
      </c>
      <c r="B35" s="51">
        <f t="shared" si="0"/>
        <v>46230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11</v>
      </c>
      <c r="B36" s="51">
        <f t="shared" si="0"/>
        <v>46231</v>
      </c>
      <c r="C36" s="52"/>
      <c r="D36" s="52"/>
      <c r="E36" s="82"/>
      <c r="F36" s="83"/>
      <c r="G36" s="54" t="str">
        <f t="shared" si="1"/>
        <v>0:00</v>
      </c>
      <c r="H36" s="54"/>
    </row>
    <row r="37" spans="1:8" ht="12.95" customHeight="1" x14ac:dyDescent="0.2">
      <c r="A37" s="50" t="s">
        <v>11</v>
      </c>
      <c r="B37" s="51">
        <f t="shared" si="0"/>
        <v>46232</v>
      </c>
      <c r="C37" s="52"/>
      <c r="D37" s="52"/>
      <c r="E37" s="82"/>
      <c r="F37" s="83"/>
      <c r="G37" s="54" t="str">
        <f t="shared" si="1"/>
        <v>0:00</v>
      </c>
      <c r="H37" s="54"/>
    </row>
    <row r="38" spans="1:8" ht="12.95" customHeight="1" x14ac:dyDescent="0.2">
      <c r="A38" s="50" t="s">
        <v>14</v>
      </c>
      <c r="B38" s="51">
        <f t="shared" si="0"/>
        <v>46233</v>
      </c>
      <c r="C38" s="52">
        <v>0.375</v>
      </c>
      <c r="D38" s="52">
        <v>0.75</v>
      </c>
      <c r="E38" s="82"/>
      <c r="F38" s="83"/>
      <c r="G38" s="54" t="str">
        <f t="shared" si="1"/>
        <v>9:00</v>
      </c>
      <c r="H38" s="54"/>
    </row>
    <row r="39" spans="1:8" ht="12.95" customHeight="1" x14ac:dyDescent="0.2">
      <c r="A39" s="50" t="s">
        <v>14</v>
      </c>
      <c r="B39" s="51">
        <f t="shared" si="0"/>
        <v>46234</v>
      </c>
      <c r="C39" s="52">
        <v>0.375</v>
      </c>
      <c r="D39" s="52">
        <v>0.75</v>
      </c>
      <c r="E39" s="82"/>
      <c r="F39" s="83"/>
      <c r="G39" s="54" t="str">
        <f>TEXT(D39-C39,"H:MM")</f>
        <v>9:00</v>
      </c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189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189</v>
      </c>
      <c r="D44" s="67">
        <f>C44/9</f>
        <v>21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189</v>
      </c>
      <c r="D49" s="76">
        <f>SUM(D44:D48)</f>
        <v>21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2" spans="1:6" s="53" customFormat="1" x14ac:dyDescent="0.2">
      <c r="A52" s="77" t="s">
        <v>50</v>
      </c>
      <c r="B52" s="47" t="s">
        <v>48</v>
      </c>
      <c r="C52" s="47"/>
      <c r="D52" s="47"/>
      <c r="E52" s="77" t="s">
        <v>49</v>
      </c>
      <c r="F52" s="47" t="s">
        <v>52</v>
      </c>
    </row>
    <row r="53" spans="1:6" s="53" customFormat="1" x14ac:dyDescent="0.2">
      <c r="A53" s="55"/>
      <c r="B53" s="47"/>
      <c r="C53" s="47"/>
      <c r="D53" s="47"/>
      <c r="E53" s="55"/>
      <c r="F53" s="47"/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77" t="s">
        <v>77</v>
      </c>
      <c r="B55" s="47" t="s">
        <v>48</v>
      </c>
      <c r="C55" s="47"/>
      <c r="D55" s="47"/>
      <c r="E55" s="77" t="s">
        <v>51</v>
      </c>
      <c r="F55" s="47" t="s">
        <v>52</v>
      </c>
    </row>
    <row r="56" spans="1:6" s="53" customFormat="1" ht="23.1" customHeight="1" x14ac:dyDescent="0.2">
      <c r="A56" s="77" t="s">
        <v>37</v>
      </c>
      <c r="B56" s="47" t="s">
        <v>48</v>
      </c>
      <c r="C56" s="47"/>
      <c r="D56" s="47"/>
      <c r="E56" s="77" t="s">
        <v>37</v>
      </c>
      <c r="F56" s="47" t="s">
        <v>52</v>
      </c>
    </row>
  </sheetData>
  <mergeCells count="47">
    <mergeCell ref="A48:B48"/>
    <mergeCell ref="A49:B49"/>
    <mergeCell ref="A43:B43"/>
    <mergeCell ref="A44:B44"/>
    <mergeCell ref="A45:B45"/>
    <mergeCell ref="A46:B46"/>
    <mergeCell ref="A47:B47"/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</mergeCells>
  <conditionalFormatting sqref="A9:A39">
    <cfRule type="expression" dxfId="47" priority="1">
      <formula>$A9:$I9="Public Holiday"</formula>
    </cfRule>
    <cfRule type="expression" dxfId="46" priority="2">
      <formula>$A9:$I9="Weekend"</formula>
    </cfRule>
  </conditionalFormatting>
  <conditionalFormatting sqref="B9 C9:E13 G9:H40 A10:D13 B14:E15 A16:E20 B21:E22 A23:E27 B28:E30 C30:D31 A31:E34 B35:E37 A38:E40">
    <cfRule type="expression" dxfId="45" priority="11">
      <formula>$A9:$H9="Weekend"</formula>
    </cfRule>
    <cfRule type="expression" dxfId="44" priority="12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83FCD7-6D6A-0340-AC28-AE6CB8E19AAB}">
          <x14:formula1>
            <xm:f>Control!$B$2:$B$8</xm:f>
          </x14:formula1>
          <xm:sqref>A9:A40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82B9-9DCA-7D46-993D-409A6FF0D81F}">
  <sheetPr>
    <tabColor rgb="FF0070C0"/>
  </sheetPr>
  <dimension ref="A1:H56"/>
  <sheetViews>
    <sheetView view="pageLayout" zoomScale="135" zoomScaleNormal="100" zoomScalePageLayoutView="135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46235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12</v>
      </c>
      <c r="B9" s="51">
        <f>C3</f>
        <v>46235</v>
      </c>
      <c r="C9" s="52"/>
      <c r="D9" s="52"/>
      <c r="E9" s="82"/>
      <c r="F9" s="83"/>
      <c r="G9" s="54" t="str">
        <f>TEXT(D9-C9,"H:MM")</f>
        <v>0:00</v>
      </c>
      <c r="H9" s="54"/>
    </row>
    <row r="10" spans="1:8" ht="12.95" customHeight="1" x14ac:dyDescent="0.2">
      <c r="A10" s="50" t="s">
        <v>12</v>
      </c>
      <c r="B10" s="51">
        <f>SUM(B9+1)</f>
        <v>46236</v>
      </c>
      <c r="C10" s="52"/>
      <c r="D10" s="52"/>
      <c r="E10" s="82"/>
      <c r="F10" s="83"/>
      <c r="G10" s="54" t="str">
        <f>TEXT(D10-C10,"H:MM")</f>
        <v>0:00</v>
      </c>
      <c r="H10" s="54"/>
    </row>
    <row r="11" spans="1:8" ht="12.95" customHeight="1" x14ac:dyDescent="0.2">
      <c r="A11" s="50" t="s">
        <v>14</v>
      </c>
      <c r="B11" s="51">
        <f t="shared" ref="B11:B39" si="0">SUM(B10+1)</f>
        <v>46237</v>
      </c>
      <c r="C11" s="52">
        <v>0.375</v>
      </c>
      <c r="D11" s="52">
        <v>0.75</v>
      </c>
      <c r="E11" s="82"/>
      <c r="F11" s="83"/>
      <c r="G11" s="54" t="str">
        <f t="shared" ref="G11:G40" si="1">TEXT(D11-C11,"H:MM")</f>
        <v>9:00</v>
      </c>
      <c r="H11" s="54"/>
    </row>
    <row r="12" spans="1:8" ht="12.95" customHeight="1" x14ac:dyDescent="0.2">
      <c r="A12" s="50" t="s">
        <v>14</v>
      </c>
      <c r="B12" s="51">
        <f t="shared" si="0"/>
        <v>46238</v>
      </c>
      <c r="C12" s="52">
        <v>0.375</v>
      </c>
      <c r="D12" s="52">
        <v>0.75</v>
      </c>
      <c r="E12" s="82"/>
      <c r="F12" s="83"/>
      <c r="G12" s="54" t="str">
        <f t="shared" si="1"/>
        <v>9:00</v>
      </c>
      <c r="H12" s="54"/>
    </row>
    <row r="13" spans="1:8" ht="12.95" customHeight="1" x14ac:dyDescent="0.2">
      <c r="A13" s="50" t="s">
        <v>14</v>
      </c>
      <c r="B13" s="51">
        <f t="shared" si="0"/>
        <v>46239</v>
      </c>
      <c r="C13" s="52">
        <v>0.375</v>
      </c>
      <c r="D13" s="52">
        <v>0.75</v>
      </c>
      <c r="E13" s="82"/>
      <c r="F13" s="83"/>
      <c r="G13" s="54" t="str">
        <f t="shared" si="1"/>
        <v>9:00</v>
      </c>
      <c r="H13" s="54"/>
    </row>
    <row r="14" spans="1:8" ht="12.95" customHeight="1" x14ac:dyDescent="0.2">
      <c r="A14" s="50" t="s">
        <v>14</v>
      </c>
      <c r="B14" s="51">
        <f t="shared" si="0"/>
        <v>46240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14</v>
      </c>
      <c r="B15" s="51">
        <f t="shared" si="0"/>
        <v>46241</v>
      </c>
      <c r="C15" s="52">
        <v>0.375</v>
      </c>
      <c r="D15" s="52">
        <v>0.75</v>
      </c>
      <c r="E15" s="82"/>
      <c r="F15" s="83"/>
      <c r="G15" s="54" t="str">
        <f t="shared" si="1"/>
        <v>9:00</v>
      </c>
      <c r="H15" s="54"/>
    </row>
    <row r="16" spans="1:8" ht="12.95" customHeight="1" x14ac:dyDescent="0.2">
      <c r="A16" s="50" t="s">
        <v>12</v>
      </c>
      <c r="B16" s="51">
        <f t="shared" si="0"/>
        <v>46242</v>
      </c>
      <c r="C16" s="52"/>
      <c r="D16" s="52"/>
      <c r="E16" s="82"/>
      <c r="F16" s="83"/>
      <c r="G16" s="54" t="str">
        <f t="shared" si="1"/>
        <v>0:00</v>
      </c>
      <c r="H16" s="54"/>
    </row>
    <row r="17" spans="1:8" ht="12.95" customHeight="1" x14ac:dyDescent="0.2">
      <c r="A17" s="50" t="s">
        <v>12</v>
      </c>
      <c r="B17" s="51">
        <f t="shared" si="0"/>
        <v>46243</v>
      </c>
      <c r="C17" s="52"/>
      <c r="D17" s="52"/>
      <c r="E17" s="82"/>
      <c r="F17" s="83"/>
      <c r="G17" s="54" t="str">
        <f t="shared" si="1"/>
        <v>0:00</v>
      </c>
      <c r="H17" s="54"/>
    </row>
    <row r="18" spans="1:8" ht="12.95" customHeight="1" x14ac:dyDescent="0.2">
      <c r="A18" s="50" t="s">
        <v>14</v>
      </c>
      <c r="B18" s="51">
        <f t="shared" si="0"/>
        <v>46244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14</v>
      </c>
      <c r="B19" s="51">
        <f t="shared" si="0"/>
        <v>46245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11</v>
      </c>
      <c r="B20" s="51">
        <f t="shared" si="0"/>
        <v>46246</v>
      </c>
      <c r="C20" s="52"/>
      <c r="D20" s="52"/>
      <c r="E20" s="82"/>
      <c r="F20" s="83"/>
      <c r="G20" s="54" t="str">
        <f t="shared" si="1"/>
        <v>0:00</v>
      </c>
      <c r="H20" s="54"/>
    </row>
    <row r="21" spans="1:8" ht="12.95" customHeight="1" x14ac:dyDescent="0.2">
      <c r="A21" s="50" t="s">
        <v>14</v>
      </c>
      <c r="B21" s="51">
        <f t="shared" si="0"/>
        <v>46247</v>
      </c>
      <c r="C21" s="52">
        <v>0.375</v>
      </c>
      <c r="D21" s="52">
        <v>0.75</v>
      </c>
      <c r="E21" s="82"/>
      <c r="F21" s="83"/>
      <c r="G21" s="54" t="str">
        <f t="shared" si="1"/>
        <v>9:00</v>
      </c>
      <c r="H21" s="54"/>
    </row>
    <row r="22" spans="1:8" ht="12.95" customHeight="1" x14ac:dyDescent="0.2">
      <c r="A22" s="50" t="s">
        <v>14</v>
      </c>
      <c r="B22" s="51">
        <f t="shared" si="0"/>
        <v>46248</v>
      </c>
      <c r="C22" s="52">
        <v>0.375</v>
      </c>
      <c r="D22" s="52">
        <v>0.75</v>
      </c>
      <c r="E22" s="82"/>
      <c r="F22" s="83"/>
      <c r="G22" s="54" t="str">
        <f t="shared" si="1"/>
        <v>9:00</v>
      </c>
      <c r="H22" s="54"/>
    </row>
    <row r="23" spans="1:8" ht="12.95" customHeight="1" x14ac:dyDescent="0.2">
      <c r="A23" s="50" t="s">
        <v>12</v>
      </c>
      <c r="B23" s="51">
        <f t="shared" si="0"/>
        <v>46249</v>
      </c>
      <c r="C23" s="52"/>
      <c r="D23" s="52"/>
      <c r="E23" s="82"/>
      <c r="F23" s="83"/>
      <c r="G23" s="54" t="str">
        <f t="shared" si="1"/>
        <v>0:00</v>
      </c>
      <c r="H23" s="54"/>
    </row>
    <row r="24" spans="1:8" ht="12.95" customHeight="1" x14ac:dyDescent="0.2">
      <c r="A24" s="50" t="s">
        <v>12</v>
      </c>
      <c r="B24" s="51">
        <f t="shared" si="0"/>
        <v>46250</v>
      </c>
      <c r="C24" s="52"/>
      <c r="D24" s="52"/>
      <c r="E24" s="82"/>
      <c r="F24" s="83"/>
      <c r="G24" s="54" t="str">
        <f t="shared" si="1"/>
        <v>0:00</v>
      </c>
      <c r="H24" s="54"/>
    </row>
    <row r="25" spans="1:8" ht="12.95" customHeight="1" x14ac:dyDescent="0.2">
      <c r="A25" s="50" t="s">
        <v>14</v>
      </c>
      <c r="B25" s="51">
        <f t="shared" si="0"/>
        <v>46251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14</v>
      </c>
      <c r="B26" s="51">
        <f t="shared" si="0"/>
        <v>46252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14</v>
      </c>
      <c r="B27" s="51">
        <f t="shared" si="0"/>
        <v>46253</v>
      </c>
      <c r="C27" s="52">
        <v>0.375</v>
      </c>
      <c r="D27" s="52">
        <v>0.75</v>
      </c>
      <c r="E27" s="82"/>
      <c r="F27" s="83"/>
      <c r="G27" s="54" t="str">
        <f t="shared" si="1"/>
        <v>9:00</v>
      </c>
      <c r="H27" s="54"/>
    </row>
    <row r="28" spans="1:8" ht="12.95" customHeight="1" x14ac:dyDescent="0.2">
      <c r="A28" s="50" t="s">
        <v>14</v>
      </c>
      <c r="B28" s="51">
        <f t="shared" si="0"/>
        <v>46254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14</v>
      </c>
      <c r="B29" s="51">
        <f t="shared" si="0"/>
        <v>46255</v>
      </c>
      <c r="C29" s="52">
        <v>0.375</v>
      </c>
      <c r="D29" s="52">
        <v>0.75</v>
      </c>
      <c r="E29" s="82"/>
      <c r="F29" s="83"/>
      <c r="G29" s="54" t="str">
        <f t="shared" si="1"/>
        <v>9:00</v>
      </c>
      <c r="H29" s="54"/>
    </row>
    <row r="30" spans="1:8" ht="12.95" customHeight="1" x14ac:dyDescent="0.2">
      <c r="A30" s="50" t="s">
        <v>12</v>
      </c>
      <c r="B30" s="51">
        <f t="shared" si="0"/>
        <v>46256</v>
      </c>
      <c r="C30" s="52"/>
      <c r="D30" s="52"/>
      <c r="E30" s="82"/>
      <c r="F30" s="83"/>
      <c r="G30" s="54" t="str">
        <f t="shared" si="1"/>
        <v>0:00</v>
      </c>
      <c r="H30" s="54"/>
    </row>
    <row r="31" spans="1:8" ht="12.95" customHeight="1" x14ac:dyDescent="0.2">
      <c r="A31" s="50" t="s">
        <v>12</v>
      </c>
      <c r="B31" s="51">
        <f t="shared" si="0"/>
        <v>46257</v>
      </c>
      <c r="C31" s="52"/>
      <c r="D31" s="52"/>
      <c r="E31" s="82"/>
      <c r="F31" s="83"/>
      <c r="G31" s="54" t="str">
        <f t="shared" si="1"/>
        <v>0:00</v>
      </c>
      <c r="H31" s="54"/>
    </row>
    <row r="32" spans="1:8" ht="12.95" customHeight="1" x14ac:dyDescent="0.2">
      <c r="A32" s="50" t="s">
        <v>14</v>
      </c>
      <c r="B32" s="51">
        <f t="shared" si="0"/>
        <v>46258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14</v>
      </c>
      <c r="B33" s="51">
        <f t="shared" si="0"/>
        <v>46259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14</v>
      </c>
      <c r="B34" s="51">
        <f t="shared" si="0"/>
        <v>46260</v>
      </c>
      <c r="C34" s="52">
        <v>0.375</v>
      </c>
      <c r="D34" s="52">
        <v>0.75</v>
      </c>
      <c r="E34" s="82"/>
      <c r="F34" s="83"/>
      <c r="G34" s="54" t="str">
        <f t="shared" si="1"/>
        <v>9:00</v>
      </c>
      <c r="H34" s="54"/>
    </row>
    <row r="35" spans="1:8" ht="12.95" customHeight="1" x14ac:dyDescent="0.2">
      <c r="A35" s="50" t="s">
        <v>14</v>
      </c>
      <c r="B35" s="51">
        <f t="shared" si="0"/>
        <v>46261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14</v>
      </c>
      <c r="B36" s="51">
        <f t="shared" si="0"/>
        <v>46262</v>
      </c>
      <c r="C36" s="52">
        <v>0.375</v>
      </c>
      <c r="D36" s="52">
        <v>0.75</v>
      </c>
      <c r="E36" s="82"/>
      <c r="F36" s="83"/>
      <c r="G36" s="54" t="str">
        <f t="shared" si="1"/>
        <v>9:00</v>
      </c>
      <c r="H36" s="54"/>
    </row>
    <row r="37" spans="1:8" ht="12.95" customHeight="1" x14ac:dyDescent="0.2">
      <c r="A37" s="50" t="s">
        <v>12</v>
      </c>
      <c r="B37" s="51">
        <f t="shared" si="0"/>
        <v>46263</v>
      </c>
      <c r="C37" s="52"/>
      <c r="D37" s="52"/>
      <c r="E37" s="82"/>
      <c r="F37" s="83"/>
      <c r="G37" s="54" t="str">
        <f t="shared" si="1"/>
        <v>0:00</v>
      </c>
      <c r="H37" s="54"/>
    </row>
    <row r="38" spans="1:8" ht="12.95" customHeight="1" x14ac:dyDescent="0.2">
      <c r="A38" s="50" t="s">
        <v>12</v>
      </c>
      <c r="B38" s="51">
        <f t="shared" si="0"/>
        <v>46264</v>
      </c>
      <c r="C38" s="52"/>
      <c r="D38" s="52"/>
      <c r="E38" s="82"/>
      <c r="F38" s="83"/>
      <c r="G38" s="54" t="str">
        <f t="shared" si="1"/>
        <v>0:00</v>
      </c>
      <c r="H38" s="54"/>
    </row>
    <row r="39" spans="1:8" ht="12.95" customHeight="1" x14ac:dyDescent="0.2">
      <c r="A39" s="50" t="s">
        <v>14</v>
      </c>
      <c r="B39" s="51">
        <f t="shared" si="0"/>
        <v>46265</v>
      </c>
      <c r="C39" s="52">
        <v>0.375</v>
      </c>
      <c r="D39" s="52">
        <v>0.75</v>
      </c>
      <c r="E39" s="82"/>
      <c r="F39" s="83"/>
      <c r="G39" s="54" t="str">
        <f>TEXT(D39-C39,"H:MM")</f>
        <v>9:00</v>
      </c>
      <c r="H39" s="54"/>
    </row>
    <row r="40" spans="1:8" x14ac:dyDescent="0.2">
      <c r="A40" s="50"/>
      <c r="B40" s="51"/>
      <c r="C40" s="52"/>
      <c r="D40" s="52"/>
      <c r="E40" s="82"/>
      <c r="F40" s="83"/>
      <c r="G40" s="54" t="str">
        <f t="shared" si="1"/>
        <v>0:00</v>
      </c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180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180</v>
      </c>
      <c r="D44" s="67">
        <f>C44/9</f>
        <v>20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180</v>
      </c>
      <c r="D49" s="76">
        <f>SUM(D44:D48)</f>
        <v>20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2" spans="1:6" s="53" customFormat="1" x14ac:dyDescent="0.2">
      <c r="A52" s="77" t="s">
        <v>50</v>
      </c>
      <c r="B52" s="47" t="s">
        <v>48</v>
      </c>
      <c r="C52" s="47"/>
      <c r="D52" s="47"/>
      <c r="E52" s="77" t="s">
        <v>49</v>
      </c>
      <c r="F52" s="47" t="s">
        <v>52</v>
      </c>
    </row>
    <row r="53" spans="1:6" s="53" customFormat="1" x14ac:dyDescent="0.2">
      <c r="A53" s="55"/>
      <c r="B53" s="47"/>
      <c r="C53" s="47"/>
      <c r="D53" s="47"/>
      <c r="E53" s="55"/>
      <c r="F53" s="47"/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77" t="s">
        <v>77</v>
      </c>
      <c r="B55" s="47" t="s">
        <v>48</v>
      </c>
      <c r="C55" s="47"/>
      <c r="D55" s="47"/>
      <c r="E55" s="77" t="s">
        <v>51</v>
      </c>
      <c r="F55" s="47" t="s">
        <v>52</v>
      </c>
    </row>
    <row r="56" spans="1:6" s="53" customFormat="1" ht="23.1" customHeight="1" x14ac:dyDescent="0.2">
      <c r="A56" s="77" t="s">
        <v>37</v>
      </c>
      <c r="B56" s="47" t="s">
        <v>48</v>
      </c>
      <c r="C56" s="47"/>
      <c r="D56" s="47"/>
      <c r="E56" s="77" t="s">
        <v>37</v>
      </c>
      <c r="F56" s="47" t="s">
        <v>52</v>
      </c>
    </row>
  </sheetData>
  <mergeCells count="47">
    <mergeCell ref="A48:B48"/>
    <mergeCell ref="A49:B49"/>
    <mergeCell ref="A43:B43"/>
    <mergeCell ref="A44:B44"/>
    <mergeCell ref="A45:B45"/>
    <mergeCell ref="A46:B46"/>
    <mergeCell ref="A47:B47"/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</mergeCells>
  <conditionalFormatting sqref="A9:A39">
    <cfRule type="expression" dxfId="43" priority="51">
      <formula>$A9:$I9="Public Holiday"</formula>
    </cfRule>
    <cfRule type="expression" dxfId="42" priority="52">
      <formula>$A9:$I9="Weekend"</formula>
    </cfRule>
  </conditionalFormatting>
  <conditionalFormatting sqref="A16:E20">
    <cfRule type="expression" dxfId="41" priority="31">
      <formula>$A16:$H16="Weekend"</formula>
    </cfRule>
    <cfRule type="expression" dxfId="40" priority="32">
      <formula>$A16:$H16="Public Holiday"</formula>
    </cfRule>
  </conditionalFormatting>
  <conditionalFormatting sqref="A23:E27">
    <cfRule type="expression" dxfId="39" priority="21">
      <formula>$A23:$H23="Weekend"</formula>
    </cfRule>
    <cfRule type="expression" dxfId="38" priority="22">
      <formula>$A23:$H23="Public Holiday"</formula>
    </cfRule>
  </conditionalFormatting>
  <conditionalFormatting sqref="A31:E34">
    <cfRule type="expression" dxfId="37" priority="13">
      <formula>$A31:$H31="Weekend"</formula>
    </cfRule>
    <cfRule type="expression" dxfId="36" priority="14">
      <formula>$A31:$H31="Public Holiday"</formula>
    </cfRule>
  </conditionalFormatting>
  <conditionalFormatting sqref="A38:E40">
    <cfRule type="expression" dxfId="35" priority="9">
      <formula>$A38:$H38="Weekend"</formula>
    </cfRule>
    <cfRule type="expression" dxfId="34" priority="10">
      <formula>$A38:$H38="Public Holiday"</formula>
    </cfRule>
  </conditionalFormatting>
  <conditionalFormatting sqref="B9 G9:H40 A10:B13">
    <cfRule type="expression" dxfId="33" priority="61">
      <formula>$A9:$H9="Weekend"</formula>
    </cfRule>
    <cfRule type="expression" dxfId="32" priority="62">
      <formula>$A9:$H9="Public Holiday"</formula>
    </cfRule>
  </conditionalFormatting>
  <conditionalFormatting sqref="B14:E15">
    <cfRule type="expression" dxfId="31" priority="7">
      <formula>$A14:$H14="Weekend"</formula>
    </cfRule>
    <cfRule type="expression" dxfId="30" priority="8">
      <formula>$A14:$H14="Public Holiday"</formula>
    </cfRule>
  </conditionalFormatting>
  <conditionalFormatting sqref="B21:E22">
    <cfRule type="expression" dxfId="29" priority="5">
      <formula>$A21:$H21="Weekend"</formula>
    </cfRule>
    <cfRule type="expression" dxfId="28" priority="6">
      <formula>$A21:$H21="Public Holiday"</formula>
    </cfRule>
  </conditionalFormatting>
  <conditionalFormatting sqref="B28:E30">
    <cfRule type="expression" dxfId="27" priority="3">
      <formula>$A28:$H28="Weekend"</formula>
    </cfRule>
    <cfRule type="expression" dxfId="26" priority="4">
      <formula>$A28:$H28="Public Holiday"</formula>
    </cfRule>
  </conditionalFormatting>
  <conditionalFormatting sqref="B35:E37">
    <cfRule type="expression" dxfId="25" priority="1">
      <formula>$A35:$H35="Weekend"</formula>
    </cfRule>
    <cfRule type="expression" dxfId="24" priority="2">
      <formula>$A35:$H35="Public Holiday"</formula>
    </cfRule>
  </conditionalFormatting>
  <conditionalFormatting sqref="C9:E13">
    <cfRule type="expression" dxfId="23" priority="41">
      <formula>$A9:$H9="Weekend"</formula>
    </cfRule>
    <cfRule type="expression" dxfId="22" priority="42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75DE6A-425F-C84C-9B9E-496A3DDE5FAD}">
          <x14:formula1>
            <xm:f>Control!$B$2:$B$8</xm:f>
          </x14:formula1>
          <xm:sqref>A9:A40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BCC9-CD37-B341-B1F0-7297E7FB6111}">
  <sheetPr>
    <tabColor rgb="FF0070C0"/>
  </sheetPr>
  <dimension ref="A1:H56"/>
  <sheetViews>
    <sheetView view="pageLayout" zoomScale="135" zoomScaleNormal="100" zoomScalePageLayoutView="135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46266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14</v>
      </c>
      <c r="B9" s="51">
        <f>C3</f>
        <v>46266</v>
      </c>
      <c r="C9" s="52">
        <v>0.375</v>
      </c>
      <c r="D9" s="52">
        <v>0.75</v>
      </c>
      <c r="E9" s="82"/>
      <c r="F9" s="83"/>
      <c r="G9" s="54" t="str">
        <f>TEXT(D9-C9,"H:MM")</f>
        <v>9:00</v>
      </c>
      <c r="H9" s="54"/>
    </row>
    <row r="10" spans="1:8" ht="12.95" customHeight="1" x14ac:dyDescent="0.2">
      <c r="A10" s="50" t="s">
        <v>14</v>
      </c>
      <c r="B10" s="51">
        <f>SUM(B9+1)</f>
        <v>46267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14</v>
      </c>
      <c r="B11" s="51">
        <f t="shared" ref="B11:B38" si="0">SUM(B10+1)</f>
        <v>46268</v>
      </c>
      <c r="C11" s="52">
        <v>0.375</v>
      </c>
      <c r="D11" s="52">
        <v>0.75</v>
      </c>
      <c r="E11" s="82"/>
      <c r="F11" s="83"/>
      <c r="G11" s="54" t="str">
        <f t="shared" ref="G11:G38" si="1">TEXT(D11-C11,"H:MM")</f>
        <v>9:00</v>
      </c>
      <c r="H11" s="54"/>
    </row>
    <row r="12" spans="1:8" ht="12.95" customHeight="1" x14ac:dyDescent="0.2">
      <c r="A12" s="50" t="s">
        <v>14</v>
      </c>
      <c r="B12" s="51">
        <f t="shared" si="0"/>
        <v>46269</v>
      </c>
      <c r="C12" s="52">
        <v>0.375</v>
      </c>
      <c r="D12" s="52">
        <v>0.75</v>
      </c>
      <c r="E12" s="82"/>
      <c r="F12" s="83"/>
      <c r="G12" s="54" t="str">
        <f t="shared" si="1"/>
        <v>9:00</v>
      </c>
      <c r="H12" s="54"/>
    </row>
    <row r="13" spans="1:8" ht="12.95" customHeight="1" x14ac:dyDescent="0.2">
      <c r="A13" s="50" t="s">
        <v>12</v>
      </c>
      <c r="B13" s="51">
        <f t="shared" si="0"/>
        <v>46270</v>
      </c>
      <c r="C13" s="52"/>
      <c r="D13" s="52"/>
      <c r="E13" s="82"/>
      <c r="F13" s="83"/>
      <c r="G13" s="54" t="str">
        <f t="shared" si="1"/>
        <v>0:00</v>
      </c>
      <c r="H13" s="54"/>
    </row>
    <row r="14" spans="1:8" ht="12.95" customHeight="1" x14ac:dyDescent="0.2">
      <c r="A14" s="50" t="s">
        <v>12</v>
      </c>
      <c r="B14" s="51">
        <f t="shared" si="0"/>
        <v>46271</v>
      </c>
      <c r="C14" s="52"/>
      <c r="D14" s="52"/>
      <c r="E14" s="82"/>
      <c r="F14" s="83"/>
      <c r="G14" s="54" t="str">
        <f t="shared" si="1"/>
        <v>0:00</v>
      </c>
      <c r="H14" s="54"/>
    </row>
    <row r="15" spans="1:8" ht="12.95" customHeight="1" x14ac:dyDescent="0.2">
      <c r="A15" s="50" t="s">
        <v>14</v>
      </c>
      <c r="B15" s="51">
        <f t="shared" si="0"/>
        <v>46272</v>
      </c>
      <c r="C15" s="52">
        <v>0.375</v>
      </c>
      <c r="D15" s="52">
        <v>0.75</v>
      </c>
      <c r="E15" s="82"/>
      <c r="F15" s="83"/>
      <c r="G15" s="54" t="str">
        <f t="shared" si="1"/>
        <v>9:00</v>
      </c>
      <c r="H15" s="54"/>
    </row>
    <row r="16" spans="1:8" ht="12.95" customHeight="1" x14ac:dyDescent="0.2">
      <c r="A16" s="50" t="s">
        <v>14</v>
      </c>
      <c r="B16" s="51">
        <f t="shared" si="0"/>
        <v>46273</v>
      </c>
      <c r="C16" s="52">
        <v>0.375</v>
      </c>
      <c r="D16" s="52">
        <v>0.75</v>
      </c>
      <c r="E16" s="82"/>
      <c r="F16" s="83"/>
      <c r="G16" s="54" t="str">
        <f t="shared" si="1"/>
        <v>9:00</v>
      </c>
      <c r="H16" s="54"/>
    </row>
    <row r="17" spans="1:8" ht="12.95" customHeight="1" x14ac:dyDescent="0.2">
      <c r="A17" s="50" t="s">
        <v>14</v>
      </c>
      <c r="B17" s="51">
        <f t="shared" si="0"/>
        <v>46274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46275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14</v>
      </c>
      <c r="B19" s="51">
        <f t="shared" si="0"/>
        <v>46276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12</v>
      </c>
      <c r="B20" s="51">
        <f t="shared" si="0"/>
        <v>46277</v>
      </c>
      <c r="C20" s="52"/>
      <c r="D20" s="52"/>
      <c r="E20" s="82"/>
      <c r="F20" s="83"/>
      <c r="G20" s="54" t="str">
        <f t="shared" si="1"/>
        <v>0:00</v>
      </c>
      <c r="H20" s="54"/>
    </row>
    <row r="21" spans="1:8" ht="12.95" customHeight="1" x14ac:dyDescent="0.2">
      <c r="A21" s="50" t="s">
        <v>12</v>
      </c>
      <c r="B21" s="51">
        <f t="shared" si="0"/>
        <v>46278</v>
      </c>
      <c r="C21" s="52"/>
      <c r="D21" s="52"/>
      <c r="E21" s="82"/>
      <c r="F21" s="83"/>
      <c r="G21" s="54" t="str">
        <f t="shared" si="1"/>
        <v>0:00</v>
      </c>
      <c r="H21" s="54"/>
    </row>
    <row r="22" spans="1:8" ht="12.95" customHeight="1" x14ac:dyDescent="0.2">
      <c r="A22" s="50" t="s">
        <v>14</v>
      </c>
      <c r="B22" s="51">
        <f t="shared" si="0"/>
        <v>46279</v>
      </c>
      <c r="C22" s="52">
        <v>0.375</v>
      </c>
      <c r="D22" s="52">
        <v>0.75</v>
      </c>
      <c r="E22" s="82"/>
      <c r="F22" s="83"/>
      <c r="G22" s="54" t="str">
        <f t="shared" si="1"/>
        <v>9:00</v>
      </c>
      <c r="H22" s="54"/>
    </row>
    <row r="23" spans="1:8" ht="12.95" customHeight="1" x14ac:dyDescent="0.2">
      <c r="A23" s="50" t="s">
        <v>14</v>
      </c>
      <c r="B23" s="51">
        <f t="shared" si="0"/>
        <v>46280</v>
      </c>
      <c r="C23" s="52">
        <v>0.375</v>
      </c>
      <c r="D23" s="52">
        <v>0.75</v>
      </c>
      <c r="E23" s="82"/>
      <c r="F23" s="83"/>
      <c r="G23" s="54" t="str">
        <f t="shared" si="1"/>
        <v>9:00</v>
      </c>
      <c r="H23" s="54"/>
    </row>
    <row r="24" spans="1:8" ht="12.95" customHeight="1" x14ac:dyDescent="0.2">
      <c r="A24" s="50" t="s">
        <v>14</v>
      </c>
      <c r="B24" s="51">
        <f t="shared" si="0"/>
        <v>46281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46282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14</v>
      </c>
      <c r="B26" s="51">
        <f t="shared" si="0"/>
        <v>46283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12</v>
      </c>
      <c r="B27" s="51">
        <f t="shared" si="0"/>
        <v>46284</v>
      </c>
      <c r="C27" s="52"/>
      <c r="D27" s="52"/>
      <c r="E27" s="82"/>
      <c r="F27" s="83"/>
      <c r="G27" s="54" t="str">
        <f t="shared" si="1"/>
        <v>0:00</v>
      </c>
      <c r="H27" s="54"/>
    </row>
    <row r="28" spans="1:8" ht="12.95" customHeight="1" x14ac:dyDescent="0.2">
      <c r="A28" s="50" t="s">
        <v>12</v>
      </c>
      <c r="B28" s="51">
        <f t="shared" si="0"/>
        <v>46285</v>
      </c>
      <c r="C28" s="52"/>
      <c r="D28" s="52"/>
      <c r="E28" s="82"/>
      <c r="F28" s="83"/>
      <c r="G28" s="54" t="str">
        <f t="shared" si="1"/>
        <v>0:00</v>
      </c>
      <c r="H28" s="54"/>
    </row>
    <row r="29" spans="1:8" ht="12.95" customHeight="1" x14ac:dyDescent="0.2">
      <c r="A29" s="50" t="s">
        <v>14</v>
      </c>
      <c r="B29" s="51">
        <f t="shared" si="0"/>
        <v>46286</v>
      </c>
      <c r="C29" s="52">
        <v>0.375</v>
      </c>
      <c r="D29" s="52">
        <v>0.75</v>
      </c>
      <c r="E29" s="82"/>
      <c r="F29" s="83"/>
      <c r="G29" s="54" t="str">
        <f t="shared" si="1"/>
        <v>9:00</v>
      </c>
      <c r="H29" s="54"/>
    </row>
    <row r="30" spans="1:8" ht="12.95" customHeight="1" x14ac:dyDescent="0.2">
      <c r="A30" s="50" t="s">
        <v>14</v>
      </c>
      <c r="B30" s="51">
        <f t="shared" si="0"/>
        <v>46287</v>
      </c>
      <c r="C30" s="52">
        <v>0.375</v>
      </c>
      <c r="D30" s="52">
        <v>0.75</v>
      </c>
      <c r="E30" s="82"/>
      <c r="F30" s="83"/>
      <c r="G30" s="54" t="str">
        <f t="shared" si="1"/>
        <v>9:00</v>
      </c>
      <c r="H30" s="54"/>
    </row>
    <row r="31" spans="1:8" ht="12.95" customHeight="1" x14ac:dyDescent="0.2">
      <c r="A31" s="50" t="s">
        <v>14</v>
      </c>
      <c r="B31" s="51">
        <f t="shared" si="0"/>
        <v>46288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46289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14</v>
      </c>
      <c r="B33" s="51">
        <f t="shared" si="0"/>
        <v>46290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12</v>
      </c>
      <c r="B34" s="51">
        <f t="shared" si="0"/>
        <v>46291</v>
      </c>
      <c r="C34" s="52"/>
      <c r="D34" s="52"/>
      <c r="E34" s="82"/>
      <c r="F34" s="83"/>
      <c r="G34" s="54" t="str">
        <f t="shared" si="1"/>
        <v>0:00</v>
      </c>
      <c r="H34" s="54"/>
    </row>
    <row r="35" spans="1:8" ht="12.95" customHeight="1" x14ac:dyDescent="0.2">
      <c r="A35" s="50" t="s">
        <v>12</v>
      </c>
      <c r="B35" s="51">
        <f t="shared" si="0"/>
        <v>46292</v>
      </c>
      <c r="C35" s="52"/>
      <c r="D35" s="52"/>
      <c r="E35" s="82"/>
      <c r="F35" s="83"/>
      <c r="G35" s="54" t="str">
        <f t="shared" si="1"/>
        <v>0:00</v>
      </c>
      <c r="H35" s="54"/>
    </row>
    <row r="36" spans="1:8" ht="12.95" customHeight="1" x14ac:dyDescent="0.2">
      <c r="A36" s="50" t="s">
        <v>14</v>
      </c>
      <c r="B36" s="51">
        <f t="shared" si="0"/>
        <v>46293</v>
      </c>
      <c r="C36" s="52">
        <v>0.375</v>
      </c>
      <c r="D36" s="52">
        <v>0.75</v>
      </c>
      <c r="E36" s="82"/>
      <c r="F36" s="83"/>
      <c r="G36" s="54" t="str">
        <f t="shared" si="1"/>
        <v>9:00</v>
      </c>
      <c r="H36" s="54"/>
    </row>
    <row r="37" spans="1:8" ht="12.95" customHeight="1" x14ac:dyDescent="0.2">
      <c r="A37" s="50" t="s">
        <v>14</v>
      </c>
      <c r="B37" s="51">
        <f t="shared" si="0"/>
        <v>46294</v>
      </c>
      <c r="C37" s="52">
        <v>0.375</v>
      </c>
      <c r="D37" s="52">
        <v>0.75</v>
      </c>
      <c r="E37" s="82"/>
      <c r="F37" s="83"/>
      <c r="G37" s="54" t="str">
        <f t="shared" si="1"/>
        <v>9:00</v>
      </c>
      <c r="H37" s="54"/>
    </row>
    <row r="38" spans="1:8" ht="12.95" customHeight="1" x14ac:dyDescent="0.2">
      <c r="A38" s="50" t="s">
        <v>14</v>
      </c>
      <c r="B38" s="51">
        <f t="shared" si="0"/>
        <v>46295</v>
      </c>
      <c r="C38" s="52">
        <v>0.375</v>
      </c>
      <c r="D38" s="52">
        <v>0.75</v>
      </c>
      <c r="E38" s="82"/>
      <c r="F38" s="83"/>
      <c r="G38" s="54" t="str">
        <f t="shared" si="1"/>
        <v>9:00</v>
      </c>
      <c r="H38" s="54"/>
    </row>
    <row r="39" spans="1:8" ht="12.95" customHeight="1" x14ac:dyDescent="0.2">
      <c r="A39" s="50"/>
      <c r="B39" s="51"/>
      <c r="C39" s="52"/>
      <c r="D39" s="52"/>
      <c r="E39" s="82"/>
      <c r="F39" s="83"/>
      <c r="G39" s="54"/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198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198</v>
      </c>
      <c r="D44" s="67">
        <f>C44/9</f>
        <v>22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198</v>
      </c>
      <c r="D49" s="76">
        <f>SUM(D44:D48)</f>
        <v>22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2" spans="1:6" s="53" customFormat="1" x14ac:dyDescent="0.2">
      <c r="A52" s="77" t="s">
        <v>50</v>
      </c>
      <c r="B52" s="47" t="s">
        <v>48</v>
      </c>
      <c r="C52" s="47"/>
      <c r="D52" s="47"/>
      <c r="E52" s="77" t="s">
        <v>49</v>
      </c>
      <c r="F52" s="47" t="s">
        <v>52</v>
      </c>
    </row>
    <row r="53" spans="1:6" s="53" customFormat="1" x14ac:dyDescent="0.2">
      <c r="A53" s="55"/>
      <c r="B53" s="47"/>
      <c r="C53" s="47"/>
      <c r="D53" s="47"/>
      <c r="E53" s="55"/>
      <c r="F53" s="47"/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77" t="s">
        <v>77</v>
      </c>
      <c r="B55" s="47" t="s">
        <v>48</v>
      </c>
      <c r="C55" s="47"/>
      <c r="D55" s="47"/>
      <c r="E55" s="77" t="s">
        <v>51</v>
      </c>
      <c r="F55" s="47" t="s">
        <v>52</v>
      </c>
    </row>
    <row r="56" spans="1:6" s="53" customFormat="1" ht="23.1" customHeight="1" x14ac:dyDescent="0.2">
      <c r="A56" s="77" t="s">
        <v>37</v>
      </c>
      <c r="B56" s="47" t="s">
        <v>48</v>
      </c>
      <c r="C56" s="47"/>
      <c r="D56" s="47"/>
      <c r="E56" s="77" t="s">
        <v>37</v>
      </c>
      <c r="F56" s="47" t="s">
        <v>52</v>
      </c>
    </row>
  </sheetData>
  <mergeCells count="47">
    <mergeCell ref="A48:B48"/>
    <mergeCell ref="A49:B49"/>
    <mergeCell ref="A43:B43"/>
    <mergeCell ref="A44:B44"/>
    <mergeCell ref="A45:B45"/>
    <mergeCell ref="A46:B46"/>
    <mergeCell ref="A47:B47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A1:A5"/>
    <mergeCell ref="C3:E3"/>
    <mergeCell ref="A7:A8"/>
    <mergeCell ref="B7:B8"/>
    <mergeCell ref="C7:D7"/>
    <mergeCell ref="E7:F8"/>
  </mergeCells>
  <conditionalFormatting sqref="A9:A39">
    <cfRule type="expression" dxfId="21" priority="47">
      <formula>$A9:$I9="Public Holiday"</formula>
    </cfRule>
    <cfRule type="expression" dxfId="20" priority="48">
      <formula>$A9:$I9="Weekend"</formula>
    </cfRule>
  </conditionalFormatting>
  <conditionalFormatting sqref="B9:E38">
    <cfRule type="expression" dxfId="19" priority="1">
      <formula>$A9:$H9="Weekend"</formula>
    </cfRule>
    <cfRule type="expression" dxfId="18" priority="2">
      <formula>$A9:$H9="Public Holiday"</formula>
    </cfRule>
  </conditionalFormatting>
  <conditionalFormatting sqref="G9:H40 A39:E40">
    <cfRule type="expression" dxfId="17" priority="51">
      <formula>$A9:$H9="Weekend"</formula>
    </cfRule>
    <cfRule type="expression" dxfId="16" priority="52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0DC52C-5F04-8847-B2B6-23283268988E}">
          <x14:formula1>
            <xm:f>Control!$B$2:$B$8</xm:f>
          </x14:formula1>
          <xm:sqref>A9:A40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CDDE-0F80-AF4C-9CA7-DFEDE3201CBF}">
  <sheetPr>
    <tabColor rgb="FF0070C0"/>
  </sheetPr>
  <dimension ref="A1:H56"/>
  <sheetViews>
    <sheetView view="pageLayout" zoomScale="135" zoomScaleNormal="100" zoomScalePageLayoutView="135" workbookViewId="0">
      <selection activeCell="C4" sqref="C4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46296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14</v>
      </c>
      <c r="B9" s="51">
        <f>C3</f>
        <v>46296</v>
      </c>
      <c r="C9" s="52">
        <v>0.375</v>
      </c>
      <c r="D9" s="52">
        <v>0.75</v>
      </c>
      <c r="E9" s="82"/>
      <c r="F9" s="83"/>
      <c r="G9" s="54" t="str">
        <f>TEXT(D9-C9,"H:MM")</f>
        <v>9:00</v>
      </c>
      <c r="H9" s="54"/>
    </row>
    <row r="10" spans="1:8" ht="12.95" customHeight="1" x14ac:dyDescent="0.2">
      <c r="A10" s="50" t="s">
        <v>14</v>
      </c>
      <c r="B10" s="51">
        <f>SUM(B9+1)</f>
        <v>46297</v>
      </c>
      <c r="C10" s="52">
        <v>0.375</v>
      </c>
      <c r="D10" s="52">
        <v>0.75</v>
      </c>
      <c r="E10" s="82"/>
      <c r="F10" s="83"/>
      <c r="G10" s="54" t="str">
        <f t="shared" ref="G10:G12" si="0">TEXT(D10-C10,"H:MM")</f>
        <v>9:00</v>
      </c>
      <c r="H10" s="54"/>
    </row>
    <row r="11" spans="1:8" ht="12.95" customHeight="1" x14ac:dyDescent="0.2">
      <c r="A11" s="50" t="s">
        <v>12</v>
      </c>
      <c r="B11" s="51">
        <f t="shared" ref="B11:B39" si="1">SUM(B10+1)</f>
        <v>46298</v>
      </c>
      <c r="C11" s="52"/>
      <c r="D11" s="52"/>
      <c r="E11" s="82"/>
      <c r="F11" s="83"/>
      <c r="G11" s="54" t="str">
        <f t="shared" si="0"/>
        <v>0:00</v>
      </c>
      <c r="H11" s="54"/>
    </row>
    <row r="12" spans="1:8" ht="12.95" customHeight="1" x14ac:dyDescent="0.2">
      <c r="A12" s="50" t="s">
        <v>12</v>
      </c>
      <c r="B12" s="51">
        <f t="shared" si="1"/>
        <v>46299</v>
      </c>
      <c r="C12" s="52"/>
      <c r="D12" s="52"/>
      <c r="E12" s="82"/>
      <c r="F12" s="83"/>
      <c r="G12" s="54" t="str">
        <f t="shared" si="0"/>
        <v>0:00</v>
      </c>
      <c r="H12" s="54"/>
    </row>
    <row r="13" spans="1:8" ht="12.95" customHeight="1" x14ac:dyDescent="0.2">
      <c r="A13" s="50" t="s">
        <v>14</v>
      </c>
      <c r="B13" s="51">
        <f t="shared" si="1"/>
        <v>46300</v>
      </c>
      <c r="C13" s="52">
        <v>0.375</v>
      </c>
      <c r="D13" s="52">
        <v>0.75</v>
      </c>
      <c r="E13" s="82"/>
      <c r="F13" s="83"/>
      <c r="G13" s="54" t="str">
        <f t="shared" ref="G13:G38" si="2">TEXT(D13-C13,"H:MM")</f>
        <v>9:00</v>
      </c>
      <c r="H13" s="54"/>
    </row>
    <row r="14" spans="1:8" ht="12.95" customHeight="1" x14ac:dyDescent="0.2">
      <c r="A14" s="50" t="s">
        <v>14</v>
      </c>
      <c r="B14" s="51">
        <f t="shared" si="1"/>
        <v>46301</v>
      </c>
      <c r="C14" s="52">
        <v>0.375</v>
      </c>
      <c r="D14" s="52">
        <v>0.75</v>
      </c>
      <c r="E14" s="82"/>
      <c r="F14" s="83"/>
      <c r="G14" s="54" t="str">
        <f t="shared" si="2"/>
        <v>9:00</v>
      </c>
      <c r="H14" s="54"/>
    </row>
    <row r="15" spans="1:8" ht="12.95" customHeight="1" x14ac:dyDescent="0.2">
      <c r="A15" s="50" t="s">
        <v>14</v>
      </c>
      <c r="B15" s="51">
        <f t="shared" si="1"/>
        <v>46302</v>
      </c>
      <c r="C15" s="52">
        <v>0.375</v>
      </c>
      <c r="D15" s="52">
        <v>0.75</v>
      </c>
      <c r="E15" s="82"/>
      <c r="F15" s="83"/>
      <c r="G15" s="54" t="str">
        <f t="shared" si="2"/>
        <v>9:00</v>
      </c>
      <c r="H15" s="54"/>
    </row>
    <row r="16" spans="1:8" ht="12.95" customHeight="1" x14ac:dyDescent="0.2">
      <c r="A16" s="50" t="s">
        <v>14</v>
      </c>
      <c r="B16" s="51">
        <f t="shared" si="1"/>
        <v>46303</v>
      </c>
      <c r="C16" s="52">
        <v>0.375</v>
      </c>
      <c r="D16" s="52">
        <v>0.75</v>
      </c>
      <c r="E16" s="82"/>
      <c r="F16" s="83"/>
      <c r="G16" s="54" t="str">
        <f t="shared" si="2"/>
        <v>9:00</v>
      </c>
      <c r="H16" s="54"/>
    </row>
    <row r="17" spans="1:8" ht="12.95" customHeight="1" x14ac:dyDescent="0.2">
      <c r="A17" s="50" t="s">
        <v>14</v>
      </c>
      <c r="B17" s="51">
        <f t="shared" si="1"/>
        <v>46304</v>
      </c>
      <c r="C17" s="52">
        <v>0.375</v>
      </c>
      <c r="D17" s="52">
        <v>0.75</v>
      </c>
      <c r="E17" s="82"/>
      <c r="F17" s="83"/>
      <c r="G17" s="54" t="str">
        <f t="shared" si="2"/>
        <v>9:00</v>
      </c>
      <c r="H17" s="54"/>
    </row>
    <row r="18" spans="1:8" ht="12.95" customHeight="1" x14ac:dyDescent="0.2">
      <c r="A18" s="50" t="s">
        <v>12</v>
      </c>
      <c r="B18" s="51">
        <f t="shared" si="1"/>
        <v>46305</v>
      </c>
      <c r="C18" s="52"/>
      <c r="D18" s="52"/>
      <c r="E18" s="82"/>
      <c r="F18" s="83"/>
      <c r="G18" s="54" t="str">
        <f t="shared" si="2"/>
        <v>0:00</v>
      </c>
      <c r="H18" s="54"/>
    </row>
    <row r="19" spans="1:8" ht="12.95" customHeight="1" x14ac:dyDescent="0.2">
      <c r="A19" s="50" t="s">
        <v>12</v>
      </c>
      <c r="B19" s="51">
        <f t="shared" si="1"/>
        <v>46306</v>
      </c>
      <c r="C19" s="52"/>
      <c r="D19" s="52"/>
      <c r="E19" s="82"/>
      <c r="F19" s="83"/>
      <c r="G19" s="54" t="str">
        <f t="shared" si="2"/>
        <v>0:00</v>
      </c>
      <c r="H19" s="54"/>
    </row>
    <row r="20" spans="1:8" ht="12.95" customHeight="1" x14ac:dyDescent="0.2">
      <c r="A20" s="50" t="s">
        <v>14</v>
      </c>
      <c r="B20" s="51">
        <f t="shared" si="1"/>
        <v>46307</v>
      </c>
      <c r="C20" s="52">
        <v>0.375</v>
      </c>
      <c r="D20" s="52">
        <v>0.75</v>
      </c>
      <c r="E20" s="82"/>
      <c r="F20" s="83"/>
      <c r="G20" s="54" t="str">
        <f t="shared" si="2"/>
        <v>9:00</v>
      </c>
      <c r="H20" s="54"/>
    </row>
    <row r="21" spans="1:8" ht="12.95" customHeight="1" x14ac:dyDescent="0.2">
      <c r="A21" s="50" t="s">
        <v>11</v>
      </c>
      <c r="B21" s="51">
        <f t="shared" si="1"/>
        <v>46308</v>
      </c>
      <c r="C21" s="52"/>
      <c r="D21" s="52"/>
      <c r="E21" s="82"/>
      <c r="F21" s="83"/>
      <c r="G21" s="54" t="str">
        <f t="shared" si="2"/>
        <v>0:00</v>
      </c>
      <c r="H21" s="54"/>
    </row>
    <row r="22" spans="1:8" ht="12.95" customHeight="1" x14ac:dyDescent="0.2">
      <c r="A22" s="50" t="s">
        <v>14</v>
      </c>
      <c r="B22" s="51">
        <f t="shared" si="1"/>
        <v>46309</v>
      </c>
      <c r="C22" s="52">
        <v>0.375</v>
      </c>
      <c r="D22" s="52">
        <v>0.75</v>
      </c>
      <c r="E22" s="82"/>
      <c r="F22" s="83"/>
      <c r="G22" s="54" t="str">
        <f t="shared" si="2"/>
        <v>9:00</v>
      </c>
      <c r="H22" s="54"/>
    </row>
    <row r="23" spans="1:8" ht="12.95" customHeight="1" x14ac:dyDescent="0.2">
      <c r="A23" s="50" t="s">
        <v>14</v>
      </c>
      <c r="B23" s="51">
        <f t="shared" si="1"/>
        <v>46310</v>
      </c>
      <c r="C23" s="52">
        <v>0.375</v>
      </c>
      <c r="D23" s="52">
        <v>0.75</v>
      </c>
      <c r="E23" s="82"/>
      <c r="F23" s="83"/>
      <c r="G23" s="54" t="str">
        <f t="shared" si="2"/>
        <v>9:00</v>
      </c>
      <c r="H23" s="54"/>
    </row>
    <row r="24" spans="1:8" ht="12.95" customHeight="1" x14ac:dyDescent="0.2">
      <c r="A24" s="50" t="s">
        <v>14</v>
      </c>
      <c r="B24" s="51">
        <f t="shared" si="1"/>
        <v>46311</v>
      </c>
      <c r="C24" s="52">
        <v>0.375</v>
      </c>
      <c r="D24" s="52">
        <v>0.75</v>
      </c>
      <c r="E24" s="82"/>
      <c r="F24" s="83"/>
      <c r="G24" s="54" t="str">
        <f t="shared" si="2"/>
        <v>9:00</v>
      </c>
      <c r="H24" s="54"/>
    </row>
    <row r="25" spans="1:8" ht="12.95" customHeight="1" x14ac:dyDescent="0.2">
      <c r="A25" s="50" t="s">
        <v>12</v>
      </c>
      <c r="B25" s="51">
        <f t="shared" si="1"/>
        <v>46312</v>
      </c>
      <c r="C25" s="52"/>
      <c r="D25" s="52"/>
      <c r="E25" s="82"/>
      <c r="F25" s="83"/>
      <c r="G25" s="54" t="str">
        <f t="shared" si="2"/>
        <v>0:00</v>
      </c>
      <c r="H25" s="54"/>
    </row>
    <row r="26" spans="1:8" ht="12.95" customHeight="1" x14ac:dyDescent="0.2">
      <c r="A26" s="50" t="s">
        <v>12</v>
      </c>
      <c r="B26" s="51">
        <f t="shared" si="1"/>
        <v>46313</v>
      </c>
      <c r="C26" s="52"/>
      <c r="D26" s="52"/>
      <c r="E26" s="82"/>
      <c r="F26" s="83"/>
      <c r="G26" s="54" t="str">
        <f>TEXT(D26-C26,"H:MM")</f>
        <v>0:00</v>
      </c>
      <c r="H26" s="54"/>
    </row>
    <row r="27" spans="1:8" ht="12.95" customHeight="1" x14ac:dyDescent="0.2">
      <c r="A27" s="50" t="s">
        <v>14</v>
      </c>
      <c r="B27" s="51">
        <f t="shared" si="1"/>
        <v>46314</v>
      </c>
      <c r="C27" s="52">
        <v>0.375</v>
      </c>
      <c r="D27" s="52">
        <v>0.75</v>
      </c>
      <c r="E27" s="82"/>
      <c r="F27" s="83"/>
      <c r="G27" s="54" t="str">
        <f t="shared" si="2"/>
        <v>9:00</v>
      </c>
      <c r="H27" s="54"/>
    </row>
    <row r="28" spans="1:8" ht="12.95" customHeight="1" x14ac:dyDescent="0.2">
      <c r="A28" s="50" t="s">
        <v>14</v>
      </c>
      <c r="B28" s="51">
        <f t="shared" si="1"/>
        <v>46315</v>
      </c>
      <c r="C28" s="52">
        <v>0.375</v>
      </c>
      <c r="D28" s="52">
        <v>0.75</v>
      </c>
      <c r="E28" s="82"/>
      <c r="F28" s="83"/>
      <c r="G28" s="54" t="str">
        <f t="shared" si="2"/>
        <v>9:00</v>
      </c>
      <c r="H28" s="54"/>
    </row>
    <row r="29" spans="1:8" ht="12.95" customHeight="1" x14ac:dyDescent="0.2">
      <c r="A29" s="50" t="s">
        <v>14</v>
      </c>
      <c r="B29" s="51">
        <f t="shared" si="1"/>
        <v>46316</v>
      </c>
      <c r="C29" s="52">
        <v>0.375</v>
      </c>
      <c r="D29" s="52">
        <v>0.75</v>
      </c>
      <c r="E29" s="82"/>
      <c r="F29" s="83"/>
      <c r="G29" s="54" t="str">
        <f t="shared" si="2"/>
        <v>9:00</v>
      </c>
      <c r="H29" s="54"/>
    </row>
    <row r="30" spans="1:8" ht="12.95" customHeight="1" x14ac:dyDescent="0.2">
      <c r="A30" s="50" t="s">
        <v>14</v>
      </c>
      <c r="B30" s="51">
        <f t="shared" si="1"/>
        <v>46317</v>
      </c>
      <c r="C30" s="52">
        <v>0.375</v>
      </c>
      <c r="D30" s="52">
        <v>0.75</v>
      </c>
      <c r="E30" s="82"/>
      <c r="F30" s="83"/>
      <c r="G30" s="54" t="str">
        <f t="shared" si="2"/>
        <v>9:00</v>
      </c>
      <c r="H30" s="54"/>
    </row>
    <row r="31" spans="1:8" ht="12.95" customHeight="1" x14ac:dyDescent="0.2">
      <c r="A31" s="50" t="s">
        <v>11</v>
      </c>
      <c r="B31" s="51">
        <f t="shared" si="1"/>
        <v>46318</v>
      </c>
      <c r="C31" s="52"/>
      <c r="D31" s="52"/>
      <c r="E31" s="82"/>
      <c r="F31" s="83"/>
      <c r="G31" s="54" t="str">
        <f t="shared" si="2"/>
        <v>0:00</v>
      </c>
      <c r="H31" s="54"/>
    </row>
    <row r="32" spans="1:8" ht="12.95" customHeight="1" x14ac:dyDescent="0.2">
      <c r="A32" s="50" t="s">
        <v>12</v>
      </c>
      <c r="B32" s="51">
        <f t="shared" si="1"/>
        <v>46319</v>
      </c>
      <c r="C32" s="52"/>
      <c r="D32" s="52"/>
      <c r="E32" s="82"/>
      <c r="F32" s="83"/>
      <c r="G32" s="54" t="str">
        <f t="shared" si="2"/>
        <v>0:00</v>
      </c>
      <c r="H32" s="54"/>
    </row>
    <row r="33" spans="1:8" ht="12.95" customHeight="1" x14ac:dyDescent="0.2">
      <c r="A33" s="50" t="s">
        <v>12</v>
      </c>
      <c r="B33" s="51">
        <f t="shared" si="1"/>
        <v>46320</v>
      </c>
      <c r="C33" s="52"/>
      <c r="D33" s="52"/>
      <c r="E33" s="82"/>
      <c r="F33" s="83"/>
      <c r="G33" s="54" t="str">
        <f t="shared" si="2"/>
        <v>0:00</v>
      </c>
      <c r="H33" s="54"/>
    </row>
    <row r="34" spans="1:8" ht="12.95" customHeight="1" x14ac:dyDescent="0.2">
      <c r="A34" s="50" t="s">
        <v>14</v>
      </c>
      <c r="B34" s="51">
        <f t="shared" si="1"/>
        <v>46321</v>
      </c>
      <c r="C34" s="52">
        <v>0.375</v>
      </c>
      <c r="D34" s="52">
        <v>0.75</v>
      </c>
      <c r="E34" s="82"/>
      <c r="F34" s="83"/>
      <c r="G34" s="54" t="str">
        <f t="shared" si="2"/>
        <v>9:00</v>
      </c>
      <c r="H34" s="54"/>
    </row>
    <row r="35" spans="1:8" ht="12.95" customHeight="1" x14ac:dyDescent="0.2">
      <c r="A35" s="50" t="s">
        <v>14</v>
      </c>
      <c r="B35" s="51">
        <f t="shared" si="1"/>
        <v>46322</v>
      </c>
      <c r="C35" s="52">
        <v>0.375</v>
      </c>
      <c r="D35" s="52">
        <v>0.75</v>
      </c>
      <c r="E35" s="82"/>
      <c r="F35" s="83"/>
      <c r="G35" s="54" t="str">
        <f t="shared" si="2"/>
        <v>9:00</v>
      </c>
      <c r="H35" s="54"/>
    </row>
    <row r="36" spans="1:8" ht="12.95" customHeight="1" x14ac:dyDescent="0.2">
      <c r="A36" s="50" t="s">
        <v>14</v>
      </c>
      <c r="B36" s="51">
        <f t="shared" si="1"/>
        <v>46323</v>
      </c>
      <c r="C36" s="52">
        <v>0.375</v>
      </c>
      <c r="D36" s="52">
        <v>0.75</v>
      </c>
      <c r="E36" s="82"/>
      <c r="F36" s="83"/>
      <c r="G36" s="54" t="str">
        <f t="shared" si="2"/>
        <v>9:00</v>
      </c>
      <c r="H36" s="54"/>
    </row>
    <row r="37" spans="1:8" ht="12.95" customHeight="1" x14ac:dyDescent="0.2">
      <c r="A37" s="50" t="s">
        <v>14</v>
      </c>
      <c r="B37" s="51">
        <f t="shared" si="1"/>
        <v>46324</v>
      </c>
      <c r="C37" s="52">
        <v>0.375</v>
      </c>
      <c r="D37" s="52">
        <v>0.75</v>
      </c>
      <c r="E37" s="82"/>
      <c r="F37" s="83"/>
      <c r="G37" s="54" t="str">
        <f t="shared" si="2"/>
        <v>9:00</v>
      </c>
      <c r="H37" s="54"/>
    </row>
    <row r="38" spans="1:8" ht="12.95" customHeight="1" x14ac:dyDescent="0.2">
      <c r="A38" s="50" t="s">
        <v>14</v>
      </c>
      <c r="B38" s="51">
        <f t="shared" si="1"/>
        <v>46325</v>
      </c>
      <c r="C38" s="52">
        <v>0.375</v>
      </c>
      <c r="D38" s="52">
        <v>0.75</v>
      </c>
      <c r="E38" s="82"/>
      <c r="F38" s="83"/>
      <c r="G38" s="54" t="str">
        <f t="shared" si="2"/>
        <v>9:00</v>
      </c>
      <c r="H38" s="54"/>
    </row>
    <row r="39" spans="1:8" ht="12.95" customHeight="1" x14ac:dyDescent="0.2">
      <c r="A39" s="50" t="s">
        <v>12</v>
      </c>
      <c r="B39" s="51">
        <f t="shared" si="1"/>
        <v>46326</v>
      </c>
      <c r="C39" s="52"/>
      <c r="D39" s="52"/>
      <c r="E39" s="82"/>
      <c r="F39" s="83"/>
      <c r="G39" s="54" t="str">
        <f>TEXT(D39-C39,"H:MM")</f>
        <v>0:00</v>
      </c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180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180</v>
      </c>
      <c r="D44" s="67">
        <f>C44/9</f>
        <v>20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180</v>
      </c>
      <c r="D49" s="76">
        <f>SUM(D44:D48)</f>
        <v>20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2" spans="1:6" s="53" customFormat="1" x14ac:dyDescent="0.2">
      <c r="A52" s="77" t="s">
        <v>50</v>
      </c>
      <c r="B52" s="47" t="s">
        <v>48</v>
      </c>
      <c r="C52" s="47"/>
      <c r="D52" s="47"/>
      <c r="E52" s="77" t="s">
        <v>49</v>
      </c>
      <c r="F52" s="47" t="s">
        <v>52</v>
      </c>
    </row>
    <row r="53" spans="1:6" s="53" customFormat="1" x14ac:dyDescent="0.2">
      <c r="A53" s="55"/>
      <c r="B53" s="47"/>
      <c r="C53" s="47"/>
      <c r="D53" s="47"/>
      <c r="E53" s="55"/>
      <c r="F53" s="47"/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77" t="s">
        <v>77</v>
      </c>
      <c r="B55" s="47" t="s">
        <v>48</v>
      </c>
      <c r="C55" s="47"/>
      <c r="D55" s="47"/>
      <c r="E55" s="77" t="s">
        <v>51</v>
      </c>
      <c r="F55" s="47" t="s">
        <v>52</v>
      </c>
    </row>
    <row r="56" spans="1:6" s="53" customFormat="1" ht="23.1" customHeight="1" x14ac:dyDescent="0.2">
      <c r="A56" s="77" t="s">
        <v>37</v>
      </c>
      <c r="B56" s="47" t="s">
        <v>48</v>
      </c>
      <c r="C56" s="47"/>
      <c r="D56" s="47"/>
      <c r="E56" s="77" t="s">
        <v>37</v>
      </c>
      <c r="F56" s="47" t="s">
        <v>52</v>
      </c>
    </row>
  </sheetData>
  <mergeCells count="47">
    <mergeCell ref="A48:B48"/>
    <mergeCell ref="A49:B49"/>
    <mergeCell ref="A43:B43"/>
    <mergeCell ref="A44:B44"/>
    <mergeCell ref="A45:B45"/>
    <mergeCell ref="A46:B46"/>
    <mergeCell ref="A47:B47"/>
    <mergeCell ref="A1:A5"/>
    <mergeCell ref="C3:E3"/>
    <mergeCell ref="A7:A8"/>
    <mergeCell ref="B7:B8"/>
    <mergeCell ref="C7:D7"/>
    <mergeCell ref="E7:F8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</mergeCells>
  <conditionalFormatting sqref="A9:A39">
    <cfRule type="expression" dxfId="15" priority="31">
      <formula>$A9:$I9="Weekend"</formula>
    </cfRule>
    <cfRule type="expression" dxfId="14" priority="32">
      <formula>$A9:$I9="Public Holiday"</formula>
    </cfRule>
  </conditionalFormatting>
  <conditionalFormatting sqref="B9:E39">
    <cfRule type="expression" dxfId="13" priority="1">
      <formula>$A9:$H9="Weekend"</formula>
    </cfRule>
    <cfRule type="expression" dxfId="12" priority="2">
      <formula>$A9:$H9="Public Holiday"</formula>
    </cfRule>
  </conditionalFormatting>
  <conditionalFormatting sqref="G9:H40 A40:E40">
    <cfRule type="expression" dxfId="11" priority="35">
      <formula>$A9:$H9="Weekend"</formula>
    </cfRule>
    <cfRule type="expression" dxfId="10" priority="36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3F2035-CF4A-7C47-91C8-1E04C1393CDC}">
          <x14:formula1>
            <xm:f>Control!$B$2:$B$8</xm:f>
          </x14:formula1>
          <xm:sqref>A9:A40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3496-40FB-1D4B-A674-ED63B02FE673}">
  <sheetPr>
    <tabColor rgb="FF0070C0"/>
  </sheetPr>
  <dimension ref="A1:H56"/>
  <sheetViews>
    <sheetView view="pageLayout" topLeftCell="A15" zoomScale="135" zoomScaleNormal="100" zoomScalePageLayoutView="135" workbookViewId="0">
      <selection activeCell="G40" sqref="G40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46327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12</v>
      </c>
      <c r="B9" s="51">
        <f>C3</f>
        <v>46327</v>
      </c>
      <c r="C9" s="52"/>
      <c r="D9" s="52"/>
      <c r="E9" s="82"/>
      <c r="F9" s="83"/>
      <c r="G9" s="54" t="str">
        <f>TEXT(D9-C9,"H:MM")</f>
        <v>0:00</v>
      </c>
      <c r="H9" s="54"/>
    </row>
    <row r="10" spans="1:8" ht="12.95" customHeight="1" x14ac:dyDescent="0.2">
      <c r="A10" s="50" t="s">
        <v>14</v>
      </c>
      <c r="B10" s="51">
        <f>SUM(B9+1)</f>
        <v>46328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14</v>
      </c>
      <c r="B11" s="51">
        <f t="shared" ref="B11:B38" si="0">SUM(B10+1)</f>
        <v>46329</v>
      </c>
      <c r="C11" s="52">
        <v>0.375</v>
      </c>
      <c r="D11" s="52">
        <v>0.75</v>
      </c>
      <c r="E11" s="82"/>
      <c r="F11" s="83"/>
      <c r="G11" s="54" t="str">
        <f t="shared" ref="G11:G38" si="1">TEXT(D11-C11,"H:MM")</f>
        <v>9:00</v>
      </c>
      <c r="H11" s="54"/>
    </row>
    <row r="12" spans="1:8" ht="12.95" customHeight="1" x14ac:dyDescent="0.2">
      <c r="A12" s="50" t="s">
        <v>14</v>
      </c>
      <c r="B12" s="51">
        <f t="shared" si="0"/>
        <v>46330</v>
      </c>
      <c r="C12" s="52">
        <v>0.375</v>
      </c>
      <c r="D12" s="52">
        <v>0.75</v>
      </c>
      <c r="E12" s="82"/>
      <c r="F12" s="83"/>
      <c r="G12" s="54" t="str">
        <f t="shared" si="1"/>
        <v>9:00</v>
      </c>
      <c r="H12" s="54"/>
    </row>
    <row r="13" spans="1:8" ht="12.95" customHeight="1" x14ac:dyDescent="0.2">
      <c r="A13" s="50" t="s">
        <v>14</v>
      </c>
      <c r="B13" s="51">
        <f t="shared" si="0"/>
        <v>46331</v>
      </c>
      <c r="C13" s="52">
        <v>0.375</v>
      </c>
      <c r="D13" s="52">
        <v>0.75</v>
      </c>
      <c r="E13" s="82"/>
      <c r="F13" s="83"/>
      <c r="G13" s="54" t="str">
        <f t="shared" si="1"/>
        <v>9:00</v>
      </c>
      <c r="H13" s="54"/>
    </row>
    <row r="14" spans="1:8" ht="12.95" customHeight="1" x14ac:dyDescent="0.2">
      <c r="A14" s="50" t="s">
        <v>14</v>
      </c>
      <c r="B14" s="51">
        <f t="shared" si="0"/>
        <v>46332</v>
      </c>
      <c r="C14" s="52">
        <v>0.375</v>
      </c>
      <c r="D14" s="52">
        <v>0.75</v>
      </c>
      <c r="E14" s="82"/>
      <c r="F14" s="83"/>
      <c r="G14" s="54" t="str">
        <f t="shared" si="1"/>
        <v>9:00</v>
      </c>
      <c r="H14" s="54"/>
    </row>
    <row r="15" spans="1:8" ht="12.95" customHeight="1" x14ac:dyDescent="0.2">
      <c r="A15" s="50" t="s">
        <v>12</v>
      </c>
      <c r="B15" s="51">
        <f t="shared" si="0"/>
        <v>46333</v>
      </c>
      <c r="C15" s="52"/>
      <c r="D15" s="52"/>
      <c r="E15" s="82"/>
      <c r="F15" s="83"/>
      <c r="G15" s="54" t="str">
        <f t="shared" si="1"/>
        <v>0:00</v>
      </c>
      <c r="H15" s="54"/>
    </row>
    <row r="16" spans="1:8" ht="12.95" customHeight="1" x14ac:dyDescent="0.2">
      <c r="A16" s="50" t="s">
        <v>12</v>
      </c>
      <c r="B16" s="51">
        <f t="shared" si="0"/>
        <v>46334</v>
      </c>
      <c r="C16" s="52"/>
      <c r="D16" s="52"/>
      <c r="E16" s="82"/>
      <c r="F16" s="83"/>
      <c r="G16" s="54" t="str">
        <f t="shared" si="1"/>
        <v>0:00</v>
      </c>
      <c r="H16" s="54"/>
    </row>
    <row r="17" spans="1:8" ht="12.95" customHeight="1" x14ac:dyDescent="0.2">
      <c r="A17" s="50" t="s">
        <v>14</v>
      </c>
      <c r="B17" s="51">
        <f t="shared" si="0"/>
        <v>46335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46336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14</v>
      </c>
      <c r="B19" s="51">
        <f t="shared" si="0"/>
        <v>46337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14</v>
      </c>
      <c r="B20" s="51">
        <f t="shared" si="0"/>
        <v>46338</v>
      </c>
      <c r="C20" s="52">
        <v>0.375</v>
      </c>
      <c r="D20" s="52">
        <v>0.75</v>
      </c>
      <c r="E20" s="82"/>
      <c r="F20" s="83"/>
      <c r="G20" s="54" t="str">
        <f t="shared" si="1"/>
        <v>9:00</v>
      </c>
      <c r="H20" s="54"/>
    </row>
    <row r="21" spans="1:8" ht="12.95" customHeight="1" x14ac:dyDescent="0.2">
      <c r="A21" s="50" t="s">
        <v>14</v>
      </c>
      <c r="B21" s="51">
        <f t="shared" si="0"/>
        <v>46339</v>
      </c>
      <c r="C21" s="52">
        <v>0.375</v>
      </c>
      <c r="D21" s="52">
        <v>0.75</v>
      </c>
      <c r="E21" s="82"/>
      <c r="F21" s="83"/>
      <c r="G21" s="54" t="str">
        <f t="shared" si="1"/>
        <v>9:00</v>
      </c>
      <c r="H21" s="54"/>
    </row>
    <row r="22" spans="1:8" ht="12.95" customHeight="1" x14ac:dyDescent="0.2">
      <c r="A22" s="50" t="s">
        <v>12</v>
      </c>
      <c r="B22" s="51">
        <f t="shared" si="0"/>
        <v>46340</v>
      </c>
      <c r="C22" s="52"/>
      <c r="D22" s="52"/>
      <c r="E22" s="82"/>
      <c r="F22" s="83"/>
      <c r="G22" s="54" t="str">
        <f t="shared" si="1"/>
        <v>0:00</v>
      </c>
      <c r="H22" s="54"/>
    </row>
    <row r="23" spans="1:8" ht="12.95" customHeight="1" x14ac:dyDescent="0.2">
      <c r="A23" s="50" t="s">
        <v>12</v>
      </c>
      <c r="B23" s="51">
        <f t="shared" si="0"/>
        <v>46341</v>
      </c>
      <c r="C23" s="52"/>
      <c r="D23" s="52"/>
      <c r="E23" s="82"/>
      <c r="F23" s="83"/>
      <c r="G23" s="54" t="str">
        <f t="shared" si="1"/>
        <v>0:00</v>
      </c>
      <c r="H23" s="54"/>
    </row>
    <row r="24" spans="1:8" ht="12.95" customHeight="1" x14ac:dyDescent="0.2">
      <c r="A24" s="50" t="s">
        <v>14</v>
      </c>
      <c r="B24" s="51">
        <f t="shared" si="0"/>
        <v>46342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46343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14</v>
      </c>
      <c r="B26" s="51">
        <f t="shared" si="0"/>
        <v>46344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14</v>
      </c>
      <c r="B27" s="51">
        <f t="shared" si="0"/>
        <v>46345</v>
      </c>
      <c r="C27" s="52">
        <v>0.375</v>
      </c>
      <c r="D27" s="52">
        <v>0.75</v>
      </c>
      <c r="E27" s="82"/>
      <c r="F27" s="83"/>
      <c r="G27" s="54" t="str">
        <f t="shared" si="1"/>
        <v>9:00</v>
      </c>
      <c r="H27" s="54"/>
    </row>
    <row r="28" spans="1:8" ht="12.95" customHeight="1" x14ac:dyDescent="0.2">
      <c r="A28" s="50" t="s">
        <v>14</v>
      </c>
      <c r="B28" s="51">
        <f t="shared" si="0"/>
        <v>46346</v>
      </c>
      <c r="C28" s="52">
        <v>0.375</v>
      </c>
      <c r="D28" s="52">
        <v>0.75</v>
      </c>
      <c r="E28" s="82"/>
      <c r="F28" s="83"/>
      <c r="G28" s="54" t="str">
        <f t="shared" si="1"/>
        <v>9:00</v>
      </c>
      <c r="H28" s="54"/>
    </row>
    <row r="29" spans="1:8" ht="12.95" customHeight="1" x14ac:dyDescent="0.2">
      <c r="A29" s="50" t="s">
        <v>12</v>
      </c>
      <c r="B29" s="51">
        <f t="shared" si="0"/>
        <v>46347</v>
      </c>
      <c r="C29" s="52"/>
      <c r="D29" s="52"/>
      <c r="E29" s="82"/>
      <c r="F29" s="83"/>
      <c r="G29" s="54" t="str">
        <f t="shared" si="1"/>
        <v>0:00</v>
      </c>
      <c r="H29" s="54"/>
    </row>
    <row r="30" spans="1:8" ht="12.95" customHeight="1" x14ac:dyDescent="0.2">
      <c r="A30" s="50" t="s">
        <v>12</v>
      </c>
      <c r="B30" s="51">
        <f t="shared" si="0"/>
        <v>46348</v>
      </c>
      <c r="C30" s="52"/>
      <c r="D30" s="52"/>
      <c r="E30" s="82"/>
      <c r="F30" s="83"/>
      <c r="G30" s="54" t="str">
        <f t="shared" si="1"/>
        <v>0:00</v>
      </c>
      <c r="H30" s="54"/>
    </row>
    <row r="31" spans="1:8" ht="12.95" customHeight="1" x14ac:dyDescent="0.2">
      <c r="A31" s="50" t="s">
        <v>14</v>
      </c>
      <c r="B31" s="51">
        <f t="shared" si="0"/>
        <v>46349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46350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14</v>
      </c>
      <c r="B33" s="51">
        <f t="shared" si="0"/>
        <v>46351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14</v>
      </c>
      <c r="B34" s="51">
        <f t="shared" si="0"/>
        <v>46352</v>
      </c>
      <c r="C34" s="52">
        <v>0.375</v>
      </c>
      <c r="D34" s="52">
        <v>0.75</v>
      </c>
      <c r="E34" s="82"/>
      <c r="F34" s="83"/>
      <c r="G34" s="54" t="str">
        <f t="shared" si="1"/>
        <v>9:00</v>
      </c>
      <c r="H34" s="54"/>
    </row>
    <row r="35" spans="1:8" ht="12.95" customHeight="1" x14ac:dyDescent="0.2">
      <c r="A35" s="50" t="s">
        <v>14</v>
      </c>
      <c r="B35" s="51">
        <f t="shared" si="0"/>
        <v>46353</v>
      </c>
      <c r="C35" s="52">
        <v>0.375</v>
      </c>
      <c r="D35" s="52">
        <v>0.75</v>
      </c>
      <c r="E35" s="82"/>
      <c r="F35" s="83"/>
      <c r="G35" s="54" t="str">
        <f t="shared" si="1"/>
        <v>9:00</v>
      </c>
      <c r="H35" s="54"/>
    </row>
    <row r="36" spans="1:8" ht="12.95" customHeight="1" x14ac:dyDescent="0.2">
      <c r="A36" s="50" t="s">
        <v>12</v>
      </c>
      <c r="B36" s="51">
        <f t="shared" si="0"/>
        <v>46354</v>
      </c>
      <c r="C36" s="52"/>
      <c r="D36" s="52"/>
      <c r="E36" s="82"/>
      <c r="F36" s="83"/>
      <c r="G36" s="54" t="str">
        <f t="shared" si="1"/>
        <v>0:00</v>
      </c>
      <c r="H36" s="54"/>
    </row>
    <row r="37" spans="1:8" ht="12.95" customHeight="1" x14ac:dyDescent="0.2">
      <c r="A37" s="50" t="s">
        <v>12</v>
      </c>
      <c r="B37" s="51">
        <f t="shared" si="0"/>
        <v>46355</v>
      </c>
      <c r="C37" s="52"/>
      <c r="D37" s="52"/>
      <c r="E37" s="82"/>
      <c r="F37" s="83"/>
      <c r="G37" s="54" t="str">
        <f t="shared" si="1"/>
        <v>0:00</v>
      </c>
      <c r="H37" s="54"/>
    </row>
    <row r="38" spans="1:8" ht="12.95" customHeight="1" x14ac:dyDescent="0.2">
      <c r="A38" s="50" t="s">
        <v>14</v>
      </c>
      <c r="B38" s="51">
        <f t="shared" si="0"/>
        <v>46356</v>
      </c>
      <c r="C38" s="52">
        <v>0.375</v>
      </c>
      <c r="D38" s="52">
        <v>0.75</v>
      </c>
      <c r="E38" s="82"/>
      <c r="F38" s="83"/>
      <c r="G38" s="54" t="str">
        <f t="shared" si="1"/>
        <v>9:00</v>
      </c>
      <c r="H38" s="54"/>
    </row>
    <row r="39" spans="1:8" ht="12.95" customHeight="1" x14ac:dyDescent="0.2">
      <c r="A39" s="50"/>
      <c r="B39" s="51"/>
      <c r="C39" s="52"/>
      <c r="D39" s="52"/>
      <c r="E39" s="82"/>
      <c r="F39" s="83"/>
      <c r="G39" s="54"/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189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189</v>
      </c>
      <c r="D44" s="67">
        <f>C44/9</f>
        <v>21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189</v>
      </c>
      <c r="D49" s="76">
        <f>SUM(D44:D48)</f>
        <v>21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2" spans="1:6" s="53" customFormat="1" x14ac:dyDescent="0.2">
      <c r="A52" s="77" t="s">
        <v>50</v>
      </c>
      <c r="B52" s="47" t="s">
        <v>48</v>
      </c>
      <c r="C52" s="47"/>
      <c r="D52" s="47"/>
      <c r="E52" s="77" t="s">
        <v>49</v>
      </c>
      <c r="F52" s="47" t="s">
        <v>52</v>
      </c>
    </row>
    <row r="53" spans="1:6" s="53" customFormat="1" x14ac:dyDescent="0.2">
      <c r="A53" s="55"/>
      <c r="B53" s="47"/>
      <c r="C53" s="47"/>
      <c r="D53" s="47"/>
      <c r="E53" s="55"/>
      <c r="F53" s="47"/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77" t="s">
        <v>77</v>
      </c>
      <c r="B55" s="47" t="s">
        <v>48</v>
      </c>
      <c r="C55" s="47"/>
      <c r="D55" s="47"/>
      <c r="E55" s="77" t="s">
        <v>51</v>
      </c>
      <c r="F55" s="47" t="s">
        <v>52</v>
      </c>
    </row>
    <row r="56" spans="1:6" s="53" customFormat="1" ht="23.1" customHeight="1" x14ac:dyDescent="0.2">
      <c r="A56" s="77" t="s">
        <v>37</v>
      </c>
      <c r="B56" s="47" t="s">
        <v>48</v>
      </c>
      <c r="C56" s="47"/>
      <c r="D56" s="47"/>
      <c r="E56" s="77" t="s">
        <v>37</v>
      </c>
      <c r="F56" s="47" t="s">
        <v>52</v>
      </c>
    </row>
  </sheetData>
  <mergeCells count="47">
    <mergeCell ref="A48:B48"/>
    <mergeCell ref="A49:B49"/>
    <mergeCell ref="A43:B43"/>
    <mergeCell ref="A44:B44"/>
    <mergeCell ref="A45:B45"/>
    <mergeCell ref="A46:B46"/>
    <mergeCell ref="A47:B47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A1:A5"/>
    <mergeCell ref="C3:E3"/>
    <mergeCell ref="A7:A8"/>
    <mergeCell ref="B7:B8"/>
    <mergeCell ref="C7:D7"/>
    <mergeCell ref="E7:F8"/>
  </mergeCells>
  <conditionalFormatting sqref="A9:A39">
    <cfRule type="expression" dxfId="9" priority="1">
      <formula>$A9:$I9="Public Holiday"</formula>
    </cfRule>
    <cfRule type="expression" dxfId="8" priority="2">
      <formula>$A9:$I9="Weekend"</formula>
    </cfRule>
  </conditionalFormatting>
  <conditionalFormatting sqref="B9:E38 G9:H40 A39:E40">
    <cfRule type="expression" dxfId="7" priority="5">
      <formula>$A9:$H9="Weekend"</formula>
    </cfRule>
    <cfRule type="expression" dxfId="6" priority="6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ABA12F-4FBB-BD4B-A2B5-3350DF8EFFC5}">
          <x14:formula1>
            <xm:f>Control!$B$2:$B$8</xm:f>
          </x14:formula1>
          <xm:sqref>A9:A40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C0BC-AC17-AE42-B73C-7373B0461B59}">
  <sheetPr>
    <tabColor rgb="FF0070C0"/>
  </sheetPr>
  <dimension ref="A1:H57"/>
  <sheetViews>
    <sheetView view="pageLayout" topLeftCell="A20" zoomScale="135" zoomScaleNormal="100" zoomScalePageLayoutView="135" workbookViewId="0">
      <selection activeCell="E22" sqref="E22:F22"/>
    </sheetView>
  </sheetViews>
  <sheetFormatPr defaultColWidth="11.42578125" defaultRowHeight="12" x14ac:dyDescent="0.2"/>
  <cols>
    <col min="1" max="1" width="11.28515625" style="47" customWidth="1"/>
    <col min="2" max="2" width="13.28515625" style="47" customWidth="1"/>
    <col min="3" max="3" width="8" style="47" customWidth="1"/>
    <col min="4" max="4" width="7.85546875" style="47" customWidth="1"/>
    <col min="5" max="5" width="22" style="47" customWidth="1"/>
    <col min="6" max="6" width="6.7109375" style="53" customWidth="1"/>
    <col min="7" max="8" width="8.28515625" style="53" customWidth="1"/>
    <col min="9" max="16384" width="11.42578125" style="47"/>
  </cols>
  <sheetData>
    <row r="1" spans="1:8" ht="15" customHeight="1" x14ac:dyDescent="0.2">
      <c r="A1" s="87"/>
      <c r="B1" s="44" t="s">
        <v>41</v>
      </c>
      <c r="C1" s="45" t="s">
        <v>46</v>
      </c>
      <c r="D1" s="46"/>
      <c r="E1" s="46"/>
      <c r="F1" s="56"/>
      <c r="G1" s="56"/>
      <c r="H1" s="57"/>
    </row>
    <row r="2" spans="1:8" x14ac:dyDescent="0.2">
      <c r="A2" s="87"/>
      <c r="B2" s="44" t="s">
        <v>54</v>
      </c>
      <c r="C2" s="45"/>
      <c r="D2" s="46"/>
      <c r="E2" s="46"/>
      <c r="F2" s="56"/>
      <c r="G2" s="56"/>
      <c r="H2" s="57"/>
    </row>
    <row r="3" spans="1:8" x14ac:dyDescent="0.2">
      <c r="A3" s="87"/>
      <c r="B3" s="44" t="s">
        <v>38</v>
      </c>
      <c r="C3" s="88">
        <v>46357</v>
      </c>
      <c r="D3" s="89"/>
      <c r="E3" s="89"/>
      <c r="F3" s="56"/>
      <c r="G3" s="56"/>
      <c r="H3" s="57"/>
    </row>
    <row r="4" spans="1:8" ht="15" customHeight="1" x14ac:dyDescent="0.2">
      <c r="A4" s="87"/>
      <c r="B4" s="48" t="s">
        <v>39</v>
      </c>
      <c r="C4" s="45"/>
      <c r="D4" s="46"/>
      <c r="E4" s="46"/>
      <c r="F4" s="56"/>
      <c r="G4" s="56"/>
      <c r="H4" s="57"/>
    </row>
    <row r="5" spans="1:8" ht="15" customHeight="1" x14ac:dyDescent="0.2">
      <c r="A5" s="87"/>
      <c r="B5" s="48" t="s">
        <v>40</v>
      </c>
      <c r="C5" s="49"/>
      <c r="D5" s="46"/>
      <c r="E5" s="46"/>
      <c r="F5" s="56"/>
      <c r="G5" s="56"/>
      <c r="H5" s="57"/>
    </row>
    <row r="6" spans="1:8" ht="5.0999999999999996" customHeight="1" x14ac:dyDescent="0.2"/>
    <row r="7" spans="1:8" ht="11.1" customHeight="1" x14ac:dyDescent="0.2">
      <c r="A7" s="90" t="s">
        <v>10</v>
      </c>
      <c r="B7" s="90" t="s">
        <v>9</v>
      </c>
      <c r="C7" s="84" t="s">
        <v>3</v>
      </c>
      <c r="D7" s="84"/>
      <c r="E7" s="91" t="s">
        <v>29</v>
      </c>
      <c r="F7" s="92"/>
      <c r="G7" s="84" t="s">
        <v>47</v>
      </c>
      <c r="H7" s="85" t="s">
        <v>4</v>
      </c>
    </row>
    <row r="8" spans="1:8" ht="11.1" customHeight="1" x14ac:dyDescent="0.2">
      <c r="A8" s="90"/>
      <c r="B8" s="90"/>
      <c r="C8" s="58" t="s">
        <v>27</v>
      </c>
      <c r="D8" s="58" t="s">
        <v>28</v>
      </c>
      <c r="E8" s="93"/>
      <c r="F8" s="94"/>
      <c r="G8" s="84"/>
      <c r="H8" s="86"/>
    </row>
    <row r="9" spans="1:8" ht="12.95" customHeight="1" x14ac:dyDescent="0.2">
      <c r="A9" s="50" t="s">
        <v>14</v>
      </c>
      <c r="B9" s="51">
        <f>C3</f>
        <v>46357</v>
      </c>
      <c r="C9" s="52">
        <v>0.375</v>
      </c>
      <c r="D9" s="52">
        <v>0.75</v>
      </c>
      <c r="E9" s="82"/>
      <c r="F9" s="83"/>
      <c r="G9" s="54" t="str">
        <f>TEXT(D9-C9,"H:MM")</f>
        <v>9:00</v>
      </c>
      <c r="H9" s="54"/>
    </row>
    <row r="10" spans="1:8" ht="12.95" customHeight="1" x14ac:dyDescent="0.2">
      <c r="A10" s="50" t="s">
        <v>14</v>
      </c>
      <c r="B10" s="51">
        <f>SUM(B9+1)</f>
        <v>46358</v>
      </c>
      <c r="C10" s="52">
        <v>0.375</v>
      </c>
      <c r="D10" s="52">
        <v>0.75</v>
      </c>
      <c r="E10" s="82"/>
      <c r="F10" s="83"/>
      <c r="G10" s="54" t="str">
        <f>TEXT(D10-C10,"H:MM")</f>
        <v>9:00</v>
      </c>
      <c r="H10" s="54"/>
    </row>
    <row r="11" spans="1:8" ht="12.95" customHeight="1" x14ac:dyDescent="0.2">
      <c r="A11" s="50" t="s">
        <v>14</v>
      </c>
      <c r="B11" s="51">
        <f t="shared" ref="B11:B39" si="0">SUM(B10+1)</f>
        <v>46359</v>
      </c>
      <c r="C11" s="52">
        <v>0.375</v>
      </c>
      <c r="D11" s="52">
        <v>0.75</v>
      </c>
      <c r="E11" s="82"/>
      <c r="F11" s="83"/>
      <c r="G11" s="54" t="str">
        <f t="shared" ref="G11:G38" si="1">TEXT(D11-C11,"H:MM")</f>
        <v>9:00</v>
      </c>
      <c r="H11" s="54"/>
    </row>
    <row r="12" spans="1:8" ht="12.95" customHeight="1" x14ac:dyDescent="0.2">
      <c r="A12" s="50" t="s">
        <v>14</v>
      </c>
      <c r="B12" s="51">
        <f t="shared" si="0"/>
        <v>46360</v>
      </c>
      <c r="C12" s="52">
        <v>0.375</v>
      </c>
      <c r="D12" s="52">
        <v>0.75</v>
      </c>
      <c r="E12" s="82"/>
      <c r="F12" s="83"/>
      <c r="G12" s="54" t="str">
        <f t="shared" si="1"/>
        <v>9:00</v>
      </c>
      <c r="H12" s="54"/>
    </row>
    <row r="13" spans="1:8" ht="12.95" customHeight="1" x14ac:dyDescent="0.2">
      <c r="A13" s="50" t="s">
        <v>12</v>
      </c>
      <c r="B13" s="51">
        <f t="shared" si="0"/>
        <v>46361</v>
      </c>
      <c r="C13" s="52"/>
      <c r="D13" s="52"/>
      <c r="E13" s="82"/>
      <c r="F13" s="83"/>
      <c r="G13" s="54" t="str">
        <f t="shared" si="1"/>
        <v>0:00</v>
      </c>
      <c r="H13" s="54"/>
    </row>
    <row r="14" spans="1:8" ht="12.95" customHeight="1" x14ac:dyDescent="0.2">
      <c r="A14" s="50" t="s">
        <v>12</v>
      </c>
      <c r="B14" s="51">
        <f t="shared" si="0"/>
        <v>46362</v>
      </c>
      <c r="C14" s="52"/>
      <c r="D14" s="52"/>
      <c r="E14" s="82"/>
      <c r="F14" s="83"/>
      <c r="G14" s="54" t="str">
        <f t="shared" si="1"/>
        <v>0:00</v>
      </c>
      <c r="H14" s="54"/>
    </row>
    <row r="15" spans="1:8" ht="12.95" customHeight="1" x14ac:dyDescent="0.2">
      <c r="A15" s="50" t="s">
        <v>11</v>
      </c>
      <c r="B15" s="51">
        <f t="shared" si="0"/>
        <v>46363</v>
      </c>
      <c r="C15" s="52"/>
      <c r="D15" s="52"/>
      <c r="E15" s="82"/>
      <c r="F15" s="83"/>
      <c r="G15" s="54" t="str">
        <f t="shared" si="1"/>
        <v>0:00</v>
      </c>
      <c r="H15" s="54"/>
    </row>
    <row r="16" spans="1:8" ht="12.95" customHeight="1" x14ac:dyDescent="0.2">
      <c r="A16" s="50" t="s">
        <v>14</v>
      </c>
      <c r="B16" s="51">
        <f t="shared" si="0"/>
        <v>46364</v>
      </c>
      <c r="C16" s="52">
        <v>0.375</v>
      </c>
      <c r="D16" s="52">
        <v>0.75</v>
      </c>
      <c r="E16" s="82"/>
      <c r="F16" s="83"/>
      <c r="G16" s="54" t="str">
        <f t="shared" si="1"/>
        <v>9:00</v>
      </c>
      <c r="H16" s="54"/>
    </row>
    <row r="17" spans="1:8" ht="12.95" customHeight="1" x14ac:dyDescent="0.2">
      <c r="A17" s="50" t="s">
        <v>14</v>
      </c>
      <c r="B17" s="51">
        <f t="shared" si="0"/>
        <v>46365</v>
      </c>
      <c r="C17" s="52">
        <v>0.375</v>
      </c>
      <c r="D17" s="52">
        <v>0.75</v>
      </c>
      <c r="E17" s="82"/>
      <c r="F17" s="83"/>
      <c r="G17" s="54" t="str">
        <f t="shared" si="1"/>
        <v>9:00</v>
      </c>
      <c r="H17" s="54"/>
    </row>
    <row r="18" spans="1:8" ht="12.95" customHeight="1" x14ac:dyDescent="0.2">
      <c r="A18" s="50" t="s">
        <v>14</v>
      </c>
      <c r="B18" s="51">
        <f t="shared" si="0"/>
        <v>46366</v>
      </c>
      <c r="C18" s="52">
        <v>0.375</v>
      </c>
      <c r="D18" s="52">
        <v>0.75</v>
      </c>
      <c r="E18" s="82"/>
      <c r="F18" s="83"/>
      <c r="G18" s="54" t="str">
        <f t="shared" si="1"/>
        <v>9:00</v>
      </c>
      <c r="H18" s="54"/>
    </row>
    <row r="19" spans="1:8" ht="12.95" customHeight="1" x14ac:dyDescent="0.2">
      <c r="A19" s="50" t="s">
        <v>14</v>
      </c>
      <c r="B19" s="51">
        <f t="shared" si="0"/>
        <v>46367</v>
      </c>
      <c r="C19" s="52">
        <v>0.375</v>
      </c>
      <c r="D19" s="52">
        <v>0.75</v>
      </c>
      <c r="E19" s="82"/>
      <c r="F19" s="83"/>
      <c r="G19" s="54" t="str">
        <f t="shared" si="1"/>
        <v>9:00</v>
      </c>
      <c r="H19" s="54"/>
    </row>
    <row r="20" spans="1:8" ht="12.95" customHeight="1" x14ac:dyDescent="0.2">
      <c r="A20" s="50" t="s">
        <v>12</v>
      </c>
      <c r="B20" s="51">
        <f t="shared" si="0"/>
        <v>46368</v>
      </c>
      <c r="C20" s="52"/>
      <c r="D20" s="52"/>
      <c r="E20" s="82"/>
      <c r="F20" s="83"/>
      <c r="G20" s="54" t="str">
        <f t="shared" si="1"/>
        <v>0:00</v>
      </c>
      <c r="H20" s="54"/>
    </row>
    <row r="21" spans="1:8" ht="12.95" customHeight="1" x14ac:dyDescent="0.2">
      <c r="A21" s="50" t="s">
        <v>12</v>
      </c>
      <c r="B21" s="51">
        <f t="shared" si="0"/>
        <v>46369</v>
      </c>
      <c r="C21" s="52"/>
      <c r="D21" s="52"/>
      <c r="E21" s="82"/>
      <c r="F21" s="83"/>
      <c r="G21" s="54" t="str">
        <f t="shared" si="1"/>
        <v>0:00</v>
      </c>
      <c r="H21" s="54"/>
    </row>
    <row r="22" spans="1:8" ht="12.95" customHeight="1" x14ac:dyDescent="0.2">
      <c r="A22" s="50" t="s">
        <v>14</v>
      </c>
      <c r="B22" s="51">
        <f t="shared" si="0"/>
        <v>46370</v>
      </c>
      <c r="C22" s="52">
        <v>0.375</v>
      </c>
      <c r="D22" s="52">
        <v>0.75</v>
      </c>
      <c r="E22" s="82"/>
      <c r="F22" s="83"/>
      <c r="G22" s="54" t="str">
        <f t="shared" si="1"/>
        <v>9:00</v>
      </c>
      <c r="H22" s="54"/>
    </row>
    <row r="23" spans="1:8" ht="12.95" customHeight="1" x14ac:dyDescent="0.2">
      <c r="A23" s="50" t="s">
        <v>14</v>
      </c>
      <c r="B23" s="51">
        <f t="shared" si="0"/>
        <v>46371</v>
      </c>
      <c r="C23" s="52">
        <v>0.375</v>
      </c>
      <c r="D23" s="52">
        <v>0.75</v>
      </c>
      <c r="E23" s="82"/>
      <c r="F23" s="83"/>
      <c r="G23" s="54" t="str">
        <f t="shared" si="1"/>
        <v>9:00</v>
      </c>
      <c r="H23" s="54"/>
    </row>
    <row r="24" spans="1:8" ht="12.95" customHeight="1" x14ac:dyDescent="0.2">
      <c r="A24" s="50" t="s">
        <v>14</v>
      </c>
      <c r="B24" s="51">
        <f t="shared" si="0"/>
        <v>46372</v>
      </c>
      <c r="C24" s="52">
        <v>0.375</v>
      </c>
      <c r="D24" s="52">
        <v>0.75</v>
      </c>
      <c r="E24" s="82"/>
      <c r="F24" s="83"/>
      <c r="G24" s="54" t="str">
        <f t="shared" si="1"/>
        <v>9:00</v>
      </c>
      <c r="H24" s="54"/>
    </row>
    <row r="25" spans="1:8" ht="12.95" customHeight="1" x14ac:dyDescent="0.2">
      <c r="A25" s="50" t="s">
        <v>14</v>
      </c>
      <c r="B25" s="51">
        <f t="shared" si="0"/>
        <v>46373</v>
      </c>
      <c r="C25" s="52">
        <v>0.375</v>
      </c>
      <c r="D25" s="52">
        <v>0.75</v>
      </c>
      <c r="E25" s="82"/>
      <c r="F25" s="83"/>
      <c r="G25" s="54" t="str">
        <f t="shared" si="1"/>
        <v>9:00</v>
      </c>
      <c r="H25" s="54"/>
    </row>
    <row r="26" spans="1:8" ht="12.95" customHeight="1" x14ac:dyDescent="0.2">
      <c r="A26" s="50" t="s">
        <v>14</v>
      </c>
      <c r="B26" s="51">
        <f t="shared" si="0"/>
        <v>46374</v>
      </c>
      <c r="C26" s="52">
        <v>0.375</v>
      </c>
      <c r="D26" s="52">
        <v>0.75</v>
      </c>
      <c r="E26" s="82"/>
      <c r="F26" s="83"/>
      <c r="G26" s="54" t="str">
        <f>TEXT(D26-C26,"H:MM")</f>
        <v>9:00</v>
      </c>
      <c r="H26" s="54"/>
    </row>
    <row r="27" spans="1:8" ht="12.95" customHeight="1" x14ac:dyDescent="0.2">
      <c r="A27" s="50" t="s">
        <v>12</v>
      </c>
      <c r="B27" s="51">
        <f t="shared" si="0"/>
        <v>46375</v>
      </c>
      <c r="C27" s="52"/>
      <c r="D27" s="52"/>
      <c r="E27" s="82"/>
      <c r="F27" s="83"/>
      <c r="G27" s="54" t="str">
        <f t="shared" si="1"/>
        <v>0:00</v>
      </c>
      <c r="H27" s="54"/>
    </row>
    <row r="28" spans="1:8" ht="12.95" customHeight="1" x14ac:dyDescent="0.2">
      <c r="A28" s="50" t="s">
        <v>12</v>
      </c>
      <c r="B28" s="51">
        <f t="shared" si="0"/>
        <v>46376</v>
      </c>
      <c r="C28" s="52"/>
      <c r="D28" s="52"/>
      <c r="E28" s="82"/>
      <c r="F28" s="83"/>
      <c r="G28" s="54" t="str">
        <f t="shared" si="1"/>
        <v>0:00</v>
      </c>
      <c r="H28" s="54"/>
    </row>
    <row r="29" spans="1:8" ht="12.95" customHeight="1" x14ac:dyDescent="0.2">
      <c r="A29" s="50" t="s">
        <v>14</v>
      </c>
      <c r="B29" s="51">
        <f t="shared" si="0"/>
        <v>46377</v>
      </c>
      <c r="C29" s="52">
        <v>0.375</v>
      </c>
      <c r="D29" s="52">
        <v>0.75</v>
      </c>
      <c r="E29" s="82"/>
      <c r="F29" s="83"/>
      <c r="G29" s="54" t="str">
        <f t="shared" si="1"/>
        <v>9:00</v>
      </c>
      <c r="H29" s="54"/>
    </row>
    <row r="30" spans="1:8" ht="12.95" customHeight="1" x14ac:dyDescent="0.2">
      <c r="A30" s="50" t="s">
        <v>14</v>
      </c>
      <c r="B30" s="51">
        <f t="shared" si="0"/>
        <v>46378</v>
      </c>
      <c r="C30" s="52">
        <v>0.375</v>
      </c>
      <c r="D30" s="52">
        <v>0.75</v>
      </c>
      <c r="E30" s="82"/>
      <c r="F30" s="83"/>
      <c r="G30" s="54" t="str">
        <f t="shared" si="1"/>
        <v>9:00</v>
      </c>
      <c r="H30" s="54"/>
    </row>
    <row r="31" spans="1:8" ht="12.95" customHeight="1" x14ac:dyDescent="0.2">
      <c r="A31" s="50" t="s">
        <v>14</v>
      </c>
      <c r="B31" s="51">
        <f t="shared" si="0"/>
        <v>46379</v>
      </c>
      <c r="C31" s="52">
        <v>0.375</v>
      </c>
      <c r="D31" s="52">
        <v>0.75</v>
      </c>
      <c r="E31" s="82"/>
      <c r="F31" s="83"/>
      <c r="G31" s="54" t="str">
        <f t="shared" si="1"/>
        <v>9:00</v>
      </c>
      <c r="H31" s="54"/>
    </row>
    <row r="32" spans="1:8" ht="12.95" customHeight="1" x14ac:dyDescent="0.2">
      <c r="A32" s="50" t="s">
        <v>14</v>
      </c>
      <c r="B32" s="51">
        <f t="shared" si="0"/>
        <v>46380</v>
      </c>
      <c r="C32" s="52">
        <v>0.375</v>
      </c>
      <c r="D32" s="52">
        <v>0.75</v>
      </c>
      <c r="E32" s="82"/>
      <c r="F32" s="83"/>
      <c r="G32" s="54" t="str">
        <f t="shared" si="1"/>
        <v>9:00</v>
      </c>
      <c r="H32" s="54"/>
    </row>
    <row r="33" spans="1:8" ht="12.95" customHeight="1" x14ac:dyDescent="0.2">
      <c r="A33" s="50" t="s">
        <v>14</v>
      </c>
      <c r="B33" s="51">
        <f t="shared" si="0"/>
        <v>46381</v>
      </c>
      <c r="C33" s="52">
        <v>0.375</v>
      </c>
      <c r="D33" s="52">
        <v>0.75</v>
      </c>
      <c r="E33" s="82"/>
      <c r="F33" s="83"/>
      <c r="G33" s="54" t="str">
        <f t="shared" si="1"/>
        <v>9:00</v>
      </c>
      <c r="H33" s="54"/>
    </row>
    <row r="34" spans="1:8" ht="12.95" customHeight="1" x14ac:dyDescent="0.2">
      <c r="A34" s="50" t="s">
        <v>12</v>
      </c>
      <c r="B34" s="51">
        <f t="shared" si="0"/>
        <v>46382</v>
      </c>
      <c r="C34" s="52"/>
      <c r="D34" s="52"/>
      <c r="E34" s="82"/>
      <c r="F34" s="83"/>
      <c r="G34" s="54" t="str">
        <f t="shared" si="1"/>
        <v>0:00</v>
      </c>
      <c r="H34" s="54"/>
    </row>
    <row r="35" spans="1:8" ht="12.95" customHeight="1" x14ac:dyDescent="0.2">
      <c r="A35" s="50" t="s">
        <v>12</v>
      </c>
      <c r="B35" s="51">
        <f t="shared" si="0"/>
        <v>46383</v>
      </c>
      <c r="C35" s="52"/>
      <c r="D35" s="52"/>
      <c r="E35" s="82"/>
      <c r="F35" s="83"/>
      <c r="G35" s="54" t="str">
        <f t="shared" si="1"/>
        <v>0:00</v>
      </c>
      <c r="H35" s="54"/>
    </row>
    <row r="36" spans="1:8" ht="12.95" customHeight="1" x14ac:dyDescent="0.2">
      <c r="A36" s="50" t="s">
        <v>14</v>
      </c>
      <c r="B36" s="51">
        <f t="shared" si="0"/>
        <v>46384</v>
      </c>
      <c r="C36" s="52">
        <v>0.375</v>
      </c>
      <c r="D36" s="52">
        <v>0.75</v>
      </c>
      <c r="E36" s="82"/>
      <c r="F36" s="83"/>
      <c r="G36" s="54" t="str">
        <f t="shared" si="1"/>
        <v>9:00</v>
      </c>
      <c r="H36" s="54"/>
    </row>
    <row r="37" spans="1:8" ht="12.95" customHeight="1" x14ac:dyDescent="0.2">
      <c r="A37" s="50" t="s">
        <v>14</v>
      </c>
      <c r="B37" s="51">
        <f t="shared" si="0"/>
        <v>46385</v>
      </c>
      <c r="C37" s="52">
        <v>0.375</v>
      </c>
      <c r="D37" s="52">
        <v>0.75</v>
      </c>
      <c r="E37" s="82"/>
      <c r="F37" s="83"/>
      <c r="G37" s="54" t="str">
        <f t="shared" si="1"/>
        <v>9:00</v>
      </c>
      <c r="H37" s="54"/>
    </row>
    <row r="38" spans="1:8" ht="12.95" customHeight="1" x14ac:dyDescent="0.2">
      <c r="A38" s="50" t="s">
        <v>14</v>
      </c>
      <c r="B38" s="51">
        <f t="shared" si="0"/>
        <v>46386</v>
      </c>
      <c r="C38" s="52">
        <v>0.375</v>
      </c>
      <c r="D38" s="52">
        <v>0.75</v>
      </c>
      <c r="E38" s="82"/>
      <c r="F38" s="83"/>
      <c r="G38" s="54" t="str">
        <f t="shared" si="1"/>
        <v>9:00</v>
      </c>
      <c r="H38" s="54"/>
    </row>
    <row r="39" spans="1:8" ht="12.95" customHeight="1" x14ac:dyDescent="0.2">
      <c r="A39" s="50" t="s">
        <v>11</v>
      </c>
      <c r="B39" s="51">
        <f t="shared" si="0"/>
        <v>46387</v>
      </c>
      <c r="C39" s="52"/>
      <c r="D39" s="52"/>
      <c r="E39" s="82"/>
      <c r="F39" s="83"/>
      <c r="G39" s="54" t="str">
        <f>TEXT(D39-C39,"H:MM")</f>
        <v>0:00</v>
      </c>
      <c r="H39" s="54"/>
    </row>
    <row r="40" spans="1:8" x14ac:dyDescent="0.2">
      <c r="A40" s="50"/>
      <c r="B40" s="51"/>
      <c r="C40" s="52"/>
      <c r="D40" s="52"/>
      <c r="E40" s="82"/>
      <c r="F40" s="83"/>
      <c r="G40" s="54"/>
      <c r="H40" s="54"/>
    </row>
    <row r="41" spans="1:8" x14ac:dyDescent="0.2">
      <c r="A41" s="59"/>
      <c r="B41" s="60"/>
      <c r="C41" s="59"/>
      <c r="D41" s="60"/>
      <c r="E41" s="59" t="s">
        <v>18</v>
      </c>
      <c r="F41" s="60"/>
      <c r="G41" s="62" cm="1">
        <f t="array" ref="G41">SUM(HOUR(G9:G40))</f>
        <v>189</v>
      </c>
      <c r="H41" s="61"/>
    </row>
    <row r="42" spans="1:8" x14ac:dyDescent="0.2">
      <c r="F42" s="47"/>
      <c r="G42" s="47"/>
      <c r="H42" s="47"/>
    </row>
    <row r="43" spans="1:8" ht="24.95" customHeight="1" x14ac:dyDescent="0.2">
      <c r="A43" s="97" t="s">
        <v>42</v>
      </c>
      <c r="B43" s="98"/>
      <c r="C43" s="66" t="s">
        <v>18</v>
      </c>
      <c r="D43" s="63" t="s">
        <v>60</v>
      </c>
      <c r="F43" s="47"/>
      <c r="G43" s="47"/>
      <c r="H43" s="47"/>
    </row>
    <row r="44" spans="1:8" x14ac:dyDescent="0.2">
      <c r="A44" s="95" t="s">
        <v>43</v>
      </c>
      <c r="B44" s="96"/>
      <c r="C44" s="67">
        <f>G41</f>
        <v>189</v>
      </c>
      <c r="D44" s="67">
        <f>C44/9</f>
        <v>21</v>
      </c>
      <c r="F44" s="47"/>
      <c r="G44" s="47"/>
      <c r="H44" s="47"/>
    </row>
    <row r="45" spans="1:8" x14ac:dyDescent="0.2">
      <c r="A45" s="95" t="s">
        <v>53</v>
      </c>
      <c r="B45" s="96"/>
      <c r="C45" s="68">
        <v>0</v>
      </c>
      <c r="D45" s="68">
        <f>C45/9</f>
        <v>0</v>
      </c>
      <c r="F45" s="47"/>
      <c r="G45" s="47"/>
      <c r="H45" s="47"/>
    </row>
    <row r="46" spans="1:8" x14ac:dyDescent="0.2">
      <c r="A46" s="95" t="s">
        <v>76</v>
      </c>
      <c r="B46" s="96"/>
      <c r="C46" s="68">
        <v>0</v>
      </c>
      <c r="D46" s="68">
        <f>C46/9</f>
        <v>0</v>
      </c>
      <c r="F46" s="47"/>
      <c r="G46" s="47"/>
      <c r="H46" s="47"/>
    </row>
    <row r="47" spans="1:8" x14ac:dyDescent="0.2">
      <c r="A47" s="95" t="s">
        <v>45</v>
      </c>
      <c r="B47" s="96"/>
      <c r="C47" s="68">
        <v>0</v>
      </c>
      <c r="D47" s="68">
        <f>C47/9</f>
        <v>0</v>
      </c>
      <c r="F47" s="47"/>
      <c r="G47" s="47"/>
      <c r="H47" s="47"/>
    </row>
    <row r="48" spans="1:8" x14ac:dyDescent="0.2">
      <c r="A48" s="95" t="s">
        <v>44</v>
      </c>
      <c r="B48" s="96"/>
      <c r="C48" s="68">
        <v>0</v>
      </c>
      <c r="D48" s="68">
        <f>C48/9</f>
        <v>0</v>
      </c>
      <c r="F48" s="47"/>
      <c r="G48" s="47"/>
      <c r="H48" s="47"/>
    </row>
    <row r="49" spans="1:6" s="53" customFormat="1" x14ac:dyDescent="0.2">
      <c r="A49" s="95" t="s">
        <v>59</v>
      </c>
      <c r="B49" s="96"/>
      <c r="C49" s="76">
        <f>SUM(C44:C48)</f>
        <v>189</v>
      </c>
      <c r="D49" s="76">
        <f>SUM(D44:D48)</f>
        <v>21</v>
      </c>
      <c r="E49" s="47"/>
    </row>
    <row r="50" spans="1:6" s="53" customFormat="1" x14ac:dyDescent="0.2">
      <c r="A50" s="47"/>
      <c r="B50" s="47"/>
      <c r="C50" s="47"/>
      <c r="D50" s="47"/>
      <c r="E50" s="47"/>
    </row>
    <row r="51" spans="1:6" s="53" customFormat="1" x14ac:dyDescent="0.2">
      <c r="A51" s="47"/>
      <c r="B51" s="47"/>
      <c r="C51" s="47"/>
      <c r="D51" s="47"/>
      <c r="E51" s="47"/>
    </row>
    <row r="53" spans="1:6" s="53" customFormat="1" x14ac:dyDescent="0.2">
      <c r="A53" s="77" t="s">
        <v>50</v>
      </c>
      <c r="B53" s="47" t="s">
        <v>48</v>
      </c>
      <c r="C53" s="47"/>
      <c r="D53" s="47"/>
      <c r="E53" s="77" t="s">
        <v>49</v>
      </c>
      <c r="F53" s="47" t="s">
        <v>52</v>
      </c>
    </row>
    <row r="54" spans="1:6" s="53" customFormat="1" x14ac:dyDescent="0.2">
      <c r="A54" s="55"/>
      <c r="B54" s="47"/>
      <c r="C54" s="47"/>
      <c r="D54" s="47"/>
      <c r="E54" s="55"/>
      <c r="F54" s="47"/>
    </row>
    <row r="55" spans="1:6" s="53" customFormat="1" x14ac:dyDescent="0.2">
      <c r="A55" s="55"/>
      <c r="B55" s="47"/>
      <c r="C55" s="47"/>
      <c r="D55" s="47"/>
      <c r="E55" s="55"/>
      <c r="F55" s="47"/>
    </row>
    <row r="56" spans="1:6" s="53" customFormat="1" x14ac:dyDescent="0.2">
      <c r="A56" s="77" t="s">
        <v>77</v>
      </c>
      <c r="B56" s="47" t="s">
        <v>48</v>
      </c>
      <c r="C56" s="47"/>
      <c r="D56" s="47"/>
      <c r="E56" s="77" t="s">
        <v>51</v>
      </c>
      <c r="F56" s="47" t="s">
        <v>52</v>
      </c>
    </row>
    <row r="57" spans="1:6" s="53" customFormat="1" ht="23.1" customHeight="1" x14ac:dyDescent="0.2">
      <c r="A57" s="77" t="s">
        <v>37</v>
      </c>
      <c r="B57" s="47" t="s">
        <v>48</v>
      </c>
      <c r="C57" s="47"/>
      <c r="D57" s="47"/>
      <c r="E57" s="77" t="s">
        <v>37</v>
      </c>
      <c r="F57" s="47" t="s">
        <v>52</v>
      </c>
    </row>
  </sheetData>
  <mergeCells count="47">
    <mergeCell ref="A48:B48"/>
    <mergeCell ref="A49:B49"/>
    <mergeCell ref="A43:B43"/>
    <mergeCell ref="A44:B44"/>
    <mergeCell ref="A45:B45"/>
    <mergeCell ref="A46:B46"/>
    <mergeCell ref="A47:B47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36:F36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8:F18"/>
    <mergeCell ref="G7:G8"/>
    <mergeCell ref="H7:H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A1:A5"/>
    <mergeCell ref="C3:E3"/>
    <mergeCell ref="A7:A8"/>
    <mergeCell ref="B7:B8"/>
    <mergeCell ref="C7:D7"/>
    <mergeCell ref="E7:F8"/>
  </mergeCells>
  <conditionalFormatting sqref="A9:A40">
    <cfRule type="expression" dxfId="5" priority="5">
      <formula>$A9:$I9="Weekend"</formula>
    </cfRule>
    <cfRule type="expression" dxfId="4" priority="6">
      <formula>$A9:$I9="Public Holiday"</formula>
    </cfRule>
  </conditionalFormatting>
  <conditionalFormatting sqref="B9 G9:H40 A10:B12 B13 A14:B14 B15:B39 A40:E40">
    <cfRule type="expression" dxfId="3" priority="11">
      <formula>$A9:$H9="Weekend"</formula>
    </cfRule>
    <cfRule type="expression" dxfId="2" priority="12">
      <formula>$A9:$H9="Public Holiday"</formula>
    </cfRule>
  </conditionalFormatting>
  <conditionalFormatting sqref="C9:E39">
    <cfRule type="expression" dxfId="1" priority="1">
      <formula>$A9:$H9="Weekend"</formula>
    </cfRule>
    <cfRule type="expression" dxfId="0" priority="2">
      <formula>$A9:$H9="Public Holiday"</formula>
    </cfRule>
  </conditionalFormatting>
  <pageMargins left="0.41371158392434987" right="0.7" top="0.63368055555555558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DA30AE-9925-C041-BB06-6B8D70D29EAA}">
          <x14:formula1>
            <xm:f>Control!$B$2:$B$8</xm:f>
          </x14:formula1>
          <xm:sqref>A9:A40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A10" workbookViewId="0">
      <selection activeCell="J6" sqref="J6:L6"/>
    </sheetView>
  </sheetViews>
  <sheetFormatPr defaultColWidth="11.42578125" defaultRowHeight="15" x14ac:dyDescent="0.25"/>
  <sheetData>
    <row r="1" spans="1:12" ht="33.950000000000003" customHeight="1" x14ac:dyDescent="0.3">
      <c r="A1" s="27"/>
      <c r="B1" s="27"/>
      <c r="C1" s="27"/>
      <c r="D1" s="27"/>
      <c r="E1" s="27"/>
      <c r="F1" s="135" t="s">
        <v>0</v>
      </c>
      <c r="G1" s="135"/>
      <c r="H1" s="135"/>
      <c r="I1" s="135"/>
      <c r="J1" s="135"/>
      <c r="K1" s="135"/>
      <c r="L1" s="135"/>
    </row>
    <row r="2" spans="1:12" x14ac:dyDescent="0.25">
      <c r="A2" s="25"/>
      <c r="B2" s="131" t="s">
        <v>6</v>
      </c>
      <c r="C2" s="131"/>
      <c r="D2" s="131"/>
      <c r="E2" s="131"/>
      <c r="F2" s="4"/>
      <c r="G2" s="4"/>
      <c r="H2" s="4"/>
      <c r="I2" s="4" t="s">
        <v>1</v>
      </c>
      <c r="J2" s="136">
        <v>42522</v>
      </c>
      <c r="K2" s="136"/>
      <c r="L2" s="136"/>
    </row>
    <row r="3" spans="1:12" x14ac:dyDescent="0.25">
      <c r="A3" s="25"/>
      <c r="B3" s="131" t="s">
        <v>8</v>
      </c>
      <c r="C3" s="131"/>
      <c r="D3" s="131"/>
      <c r="E3" s="131"/>
      <c r="F3" s="4"/>
      <c r="G3" s="4"/>
      <c r="H3" s="4"/>
      <c r="I3" s="4" t="s">
        <v>2</v>
      </c>
      <c r="J3" s="137" t="s">
        <v>31</v>
      </c>
      <c r="K3" s="137"/>
      <c r="L3" s="137"/>
    </row>
    <row r="4" spans="1:12" x14ac:dyDescent="0.25">
      <c r="A4" s="25"/>
      <c r="B4" s="131" t="s">
        <v>7</v>
      </c>
      <c r="C4" s="131"/>
      <c r="D4" s="131"/>
      <c r="E4" s="131"/>
      <c r="F4" s="23"/>
      <c r="G4" s="24"/>
      <c r="H4" s="4"/>
      <c r="I4" s="24"/>
      <c r="J4" s="24"/>
      <c r="K4" s="28"/>
      <c r="L4" s="28"/>
    </row>
    <row r="5" spans="1:12" x14ac:dyDescent="0.25">
      <c r="A5" s="25"/>
      <c r="B5" s="24"/>
      <c r="C5" s="24"/>
      <c r="D5" s="24"/>
      <c r="E5" s="24"/>
      <c r="F5" s="4"/>
      <c r="G5" s="24"/>
      <c r="H5" s="4"/>
      <c r="I5" s="24"/>
      <c r="J5" s="24"/>
      <c r="K5" s="24"/>
      <c r="L5" s="24"/>
    </row>
    <row r="6" spans="1:12" x14ac:dyDescent="0.25">
      <c r="A6" s="25"/>
      <c r="B6" s="131" t="s">
        <v>23</v>
      </c>
      <c r="C6" s="131"/>
      <c r="D6" s="132"/>
      <c r="E6" s="132"/>
      <c r="F6" s="132"/>
      <c r="G6" s="4"/>
      <c r="H6" s="23"/>
      <c r="I6" s="24" t="s">
        <v>22</v>
      </c>
      <c r="J6" s="132" t="s">
        <v>36</v>
      </c>
      <c r="K6" s="132"/>
      <c r="L6" s="132"/>
    </row>
    <row r="7" spans="1:12" x14ac:dyDescent="0.25">
      <c r="A7" s="25"/>
      <c r="B7" s="131" t="s">
        <v>24</v>
      </c>
      <c r="C7" s="131"/>
      <c r="D7" s="133"/>
      <c r="E7" s="133"/>
      <c r="F7" s="133"/>
      <c r="G7" s="4"/>
      <c r="H7" s="23"/>
      <c r="I7" s="24" t="s">
        <v>25</v>
      </c>
      <c r="J7" s="134"/>
      <c r="K7" s="134"/>
      <c r="L7" s="134"/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9"/>
      <c r="B9" s="119" t="s">
        <v>10</v>
      </c>
      <c r="C9" s="119" t="s">
        <v>9</v>
      </c>
      <c r="D9" s="123" t="s">
        <v>3</v>
      </c>
      <c r="E9" s="124"/>
      <c r="F9" s="125" t="s">
        <v>4</v>
      </c>
      <c r="G9" s="126"/>
      <c r="H9" s="127" t="s">
        <v>29</v>
      </c>
      <c r="I9" s="128"/>
      <c r="J9" s="117" t="s">
        <v>30</v>
      </c>
      <c r="K9" s="117" t="s">
        <v>4</v>
      </c>
      <c r="L9" s="119" t="s">
        <v>5</v>
      </c>
    </row>
    <row r="10" spans="1:12" x14ac:dyDescent="0.25">
      <c r="A10" s="9"/>
      <c r="B10" s="120"/>
      <c r="C10" s="120"/>
      <c r="D10" s="29" t="s">
        <v>27</v>
      </c>
      <c r="E10" s="29" t="s">
        <v>28</v>
      </c>
      <c r="F10" s="29" t="s">
        <v>27</v>
      </c>
      <c r="G10" s="29" t="s">
        <v>28</v>
      </c>
      <c r="H10" s="129"/>
      <c r="I10" s="130"/>
      <c r="J10" s="118"/>
      <c r="K10" s="118"/>
      <c r="L10" s="120"/>
    </row>
    <row r="11" spans="1:12" x14ac:dyDescent="0.25">
      <c r="A11" s="30"/>
      <c r="B11" s="31" t="s">
        <v>14</v>
      </c>
      <c r="C11" s="32">
        <v>42522</v>
      </c>
      <c r="D11" s="33"/>
      <c r="E11" s="33"/>
      <c r="F11" s="34"/>
      <c r="G11" s="34"/>
      <c r="H11" s="121" t="s">
        <v>32</v>
      </c>
      <c r="I11" s="122"/>
      <c r="J11" s="35"/>
      <c r="K11" s="35"/>
      <c r="L11" s="36">
        <v>0</v>
      </c>
    </row>
    <row r="12" spans="1:12" x14ac:dyDescent="0.25">
      <c r="A12" s="30"/>
      <c r="B12" s="31" t="s">
        <v>14</v>
      </c>
      <c r="C12" s="32">
        <v>42523</v>
      </c>
      <c r="D12" s="37"/>
      <c r="E12" s="37"/>
      <c r="F12" s="34"/>
      <c r="G12" s="34"/>
      <c r="H12" s="112"/>
      <c r="I12" s="113"/>
      <c r="J12" s="38"/>
      <c r="K12" s="35"/>
      <c r="L12" s="36">
        <v>0</v>
      </c>
    </row>
    <row r="13" spans="1:12" x14ac:dyDescent="0.25">
      <c r="A13" s="30"/>
      <c r="B13" s="31"/>
      <c r="C13" s="32">
        <v>42524</v>
      </c>
      <c r="D13" s="37"/>
      <c r="E13" s="37"/>
      <c r="F13" s="34"/>
      <c r="G13" s="34"/>
      <c r="H13" s="112"/>
      <c r="I13" s="113"/>
      <c r="J13" s="38"/>
      <c r="K13" s="35"/>
      <c r="L13" s="36">
        <v>0</v>
      </c>
    </row>
    <row r="14" spans="1:12" x14ac:dyDescent="0.25">
      <c r="A14" s="30"/>
      <c r="B14" s="31" t="s">
        <v>12</v>
      </c>
      <c r="C14" s="32">
        <v>42525</v>
      </c>
      <c r="D14" s="37"/>
      <c r="E14" s="37"/>
      <c r="F14" s="34"/>
      <c r="G14" s="34"/>
      <c r="H14" s="112"/>
      <c r="I14" s="113"/>
      <c r="J14" s="38"/>
      <c r="K14" s="35"/>
      <c r="L14" s="36">
        <v>0</v>
      </c>
    </row>
    <row r="15" spans="1:12" x14ac:dyDescent="0.25">
      <c r="A15" s="30"/>
      <c r="B15" s="31" t="s">
        <v>12</v>
      </c>
      <c r="C15" s="32">
        <v>42526</v>
      </c>
      <c r="D15" s="37"/>
      <c r="E15" s="37"/>
      <c r="F15" s="34"/>
      <c r="G15" s="34"/>
      <c r="H15" s="112"/>
      <c r="I15" s="113"/>
      <c r="J15" s="38"/>
      <c r="K15" s="35"/>
      <c r="L15" s="36">
        <v>0</v>
      </c>
    </row>
    <row r="16" spans="1:12" x14ac:dyDescent="0.25">
      <c r="A16" s="30"/>
      <c r="B16" s="31"/>
      <c r="C16" s="32">
        <v>42527</v>
      </c>
      <c r="D16" s="37"/>
      <c r="E16" s="37"/>
      <c r="F16" s="34"/>
      <c r="G16" s="34"/>
      <c r="H16" s="112"/>
      <c r="I16" s="113"/>
      <c r="J16" s="38"/>
      <c r="K16" s="35"/>
      <c r="L16" s="36">
        <v>0</v>
      </c>
    </row>
    <row r="17" spans="1:12" x14ac:dyDescent="0.25">
      <c r="A17" s="30"/>
      <c r="B17" s="31"/>
      <c r="C17" s="32">
        <v>42528</v>
      </c>
      <c r="D17" s="37"/>
      <c r="E17" s="37"/>
      <c r="F17" s="34"/>
      <c r="G17" s="34"/>
      <c r="H17" s="112"/>
      <c r="I17" s="113"/>
      <c r="J17" s="38"/>
      <c r="K17" s="35"/>
      <c r="L17" s="36">
        <v>0</v>
      </c>
    </row>
    <row r="18" spans="1:12" x14ac:dyDescent="0.25">
      <c r="A18" s="30"/>
      <c r="B18" s="31"/>
      <c r="C18" s="32">
        <v>42529</v>
      </c>
      <c r="D18" s="37"/>
      <c r="E18" s="37"/>
      <c r="F18" s="34"/>
      <c r="G18" s="34"/>
      <c r="H18" s="112"/>
      <c r="I18" s="113"/>
      <c r="J18" s="38"/>
      <c r="K18" s="35"/>
      <c r="L18" s="36">
        <v>0</v>
      </c>
    </row>
    <row r="19" spans="1:12" x14ac:dyDescent="0.25">
      <c r="A19" s="30"/>
      <c r="B19" s="31"/>
      <c r="C19" s="32">
        <v>42530</v>
      </c>
      <c r="D19" s="37"/>
      <c r="E19" s="37"/>
      <c r="F19" s="34"/>
      <c r="G19" s="34"/>
      <c r="H19" s="112"/>
      <c r="I19" s="113"/>
      <c r="J19" s="38"/>
      <c r="K19" s="35"/>
      <c r="L19" s="36">
        <v>0</v>
      </c>
    </row>
    <row r="20" spans="1:12" x14ac:dyDescent="0.25">
      <c r="A20" s="30"/>
      <c r="B20" s="31"/>
      <c r="C20" s="32">
        <v>42531</v>
      </c>
      <c r="D20" s="37"/>
      <c r="E20" s="37"/>
      <c r="F20" s="34"/>
      <c r="G20" s="34"/>
      <c r="H20" s="112"/>
      <c r="I20" s="113"/>
      <c r="J20" s="38"/>
      <c r="K20" s="35"/>
      <c r="L20" s="36">
        <v>0</v>
      </c>
    </row>
    <row r="21" spans="1:12" x14ac:dyDescent="0.25">
      <c r="A21" s="30"/>
      <c r="B21" s="31" t="s">
        <v>12</v>
      </c>
      <c r="C21" s="32">
        <v>42532</v>
      </c>
      <c r="D21" s="37"/>
      <c r="E21" s="37"/>
      <c r="F21" s="34"/>
      <c r="G21" s="34"/>
      <c r="H21" s="112"/>
      <c r="I21" s="113"/>
      <c r="J21" s="38"/>
      <c r="K21" s="35"/>
      <c r="L21" s="36">
        <v>0</v>
      </c>
    </row>
    <row r="22" spans="1:12" x14ac:dyDescent="0.25">
      <c r="A22" s="30"/>
      <c r="B22" s="31" t="s">
        <v>12</v>
      </c>
      <c r="C22" s="32">
        <v>42533</v>
      </c>
      <c r="D22" s="37"/>
      <c r="E22" s="37"/>
      <c r="F22" s="34"/>
      <c r="G22" s="34"/>
      <c r="H22" s="112"/>
      <c r="I22" s="113"/>
      <c r="J22" s="38"/>
      <c r="K22" s="35"/>
      <c r="L22" s="36">
        <v>0</v>
      </c>
    </row>
    <row r="23" spans="1:12" x14ac:dyDescent="0.25">
      <c r="A23" s="30"/>
      <c r="B23" s="31"/>
      <c r="C23" s="32">
        <v>42534</v>
      </c>
      <c r="D23" s="37"/>
      <c r="E23" s="37"/>
      <c r="F23" s="34"/>
      <c r="G23" s="34"/>
      <c r="H23" s="112"/>
      <c r="I23" s="113"/>
      <c r="J23" s="38"/>
      <c r="K23" s="35"/>
      <c r="L23" s="36">
        <v>0</v>
      </c>
    </row>
    <row r="24" spans="1:12" x14ac:dyDescent="0.25">
      <c r="A24" s="30"/>
      <c r="B24" s="31"/>
      <c r="C24" s="32">
        <v>42535</v>
      </c>
      <c r="D24" s="37"/>
      <c r="E24" s="37"/>
      <c r="F24" s="34"/>
      <c r="G24" s="34"/>
      <c r="H24" s="112"/>
      <c r="I24" s="113"/>
      <c r="J24" s="38"/>
      <c r="K24" s="38"/>
      <c r="L24" s="36">
        <v>0</v>
      </c>
    </row>
    <row r="25" spans="1:12" x14ac:dyDescent="0.25">
      <c r="A25" s="30"/>
      <c r="B25" s="31"/>
      <c r="C25" s="32">
        <v>42536</v>
      </c>
      <c r="D25" s="37"/>
      <c r="E25" s="37"/>
      <c r="F25" s="34"/>
      <c r="G25" s="34"/>
      <c r="H25" s="112"/>
      <c r="I25" s="113"/>
      <c r="J25" s="38"/>
      <c r="K25" s="38"/>
      <c r="L25" s="36">
        <v>0</v>
      </c>
    </row>
    <row r="26" spans="1:12" x14ac:dyDescent="0.25">
      <c r="A26" s="30"/>
      <c r="B26" s="31"/>
      <c r="C26" s="32">
        <v>42537</v>
      </c>
      <c r="D26" s="37"/>
      <c r="E26" s="37"/>
      <c r="F26" s="34"/>
      <c r="G26" s="34"/>
      <c r="H26" s="112"/>
      <c r="I26" s="113"/>
      <c r="J26" s="38"/>
      <c r="K26" s="38"/>
      <c r="L26" s="36">
        <v>0</v>
      </c>
    </row>
    <row r="27" spans="1:12" x14ac:dyDescent="0.25">
      <c r="A27" s="30"/>
      <c r="B27" s="31"/>
      <c r="C27" s="32">
        <v>42538</v>
      </c>
      <c r="D27" s="37"/>
      <c r="E27" s="37"/>
      <c r="F27" s="34"/>
      <c r="G27" s="34"/>
      <c r="H27" s="112"/>
      <c r="I27" s="113"/>
      <c r="J27" s="38"/>
      <c r="K27" s="38"/>
      <c r="L27" s="36">
        <v>0</v>
      </c>
    </row>
    <row r="28" spans="1:12" x14ac:dyDescent="0.25">
      <c r="A28" s="30"/>
      <c r="B28" s="31" t="s">
        <v>12</v>
      </c>
      <c r="C28" s="32">
        <v>42539</v>
      </c>
      <c r="D28" s="37"/>
      <c r="E28" s="37"/>
      <c r="F28" s="34"/>
      <c r="G28" s="34"/>
      <c r="H28" s="112"/>
      <c r="I28" s="113"/>
      <c r="J28" s="38"/>
      <c r="K28" s="38"/>
      <c r="L28" s="36">
        <v>0</v>
      </c>
    </row>
    <row r="29" spans="1:12" x14ac:dyDescent="0.25">
      <c r="A29" s="30"/>
      <c r="B29" s="31" t="s">
        <v>12</v>
      </c>
      <c r="C29" s="32">
        <v>42540</v>
      </c>
      <c r="D29" s="37"/>
      <c r="E29" s="37"/>
      <c r="F29" s="34"/>
      <c r="G29" s="34"/>
      <c r="H29" s="112"/>
      <c r="I29" s="113"/>
      <c r="J29" s="38"/>
      <c r="K29" s="38"/>
      <c r="L29" s="36">
        <v>0</v>
      </c>
    </row>
    <row r="30" spans="1:12" x14ac:dyDescent="0.25">
      <c r="A30" s="30"/>
      <c r="B30" s="31"/>
      <c r="C30" s="32">
        <v>42541</v>
      </c>
      <c r="D30" s="37"/>
      <c r="E30" s="37"/>
      <c r="F30" s="34"/>
      <c r="G30" s="34"/>
      <c r="H30" s="112"/>
      <c r="I30" s="113"/>
      <c r="J30" s="38"/>
      <c r="K30" s="38"/>
      <c r="L30" s="36">
        <v>0</v>
      </c>
    </row>
    <row r="31" spans="1:12" x14ac:dyDescent="0.25">
      <c r="A31" s="30"/>
      <c r="B31" s="31"/>
      <c r="C31" s="32">
        <v>42542</v>
      </c>
      <c r="D31" s="37"/>
      <c r="E31" s="37"/>
      <c r="F31" s="34"/>
      <c r="G31" s="34"/>
      <c r="H31" s="112"/>
      <c r="I31" s="113"/>
      <c r="J31" s="38"/>
      <c r="K31" s="38"/>
      <c r="L31" s="36">
        <v>0</v>
      </c>
    </row>
    <row r="32" spans="1:12" x14ac:dyDescent="0.25">
      <c r="A32" s="30"/>
      <c r="B32" s="31"/>
      <c r="C32" s="32">
        <v>42543</v>
      </c>
      <c r="D32" s="37"/>
      <c r="E32" s="37"/>
      <c r="F32" s="34"/>
      <c r="G32" s="34"/>
      <c r="H32" s="112"/>
      <c r="I32" s="113"/>
      <c r="J32" s="38"/>
      <c r="K32" s="38"/>
      <c r="L32" s="36">
        <v>0</v>
      </c>
    </row>
    <row r="33" spans="1:12" x14ac:dyDescent="0.25">
      <c r="A33" s="30"/>
      <c r="B33" s="31"/>
      <c r="C33" s="32">
        <v>42544</v>
      </c>
      <c r="D33" s="37"/>
      <c r="E33" s="37"/>
      <c r="F33" s="34"/>
      <c r="G33" s="34"/>
      <c r="H33" s="112"/>
      <c r="I33" s="113"/>
      <c r="J33" s="38"/>
      <c r="K33" s="38"/>
      <c r="L33" s="36">
        <v>0</v>
      </c>
    </row>
    <row r="34" spans="1:12" x14ac:dyDescent="0.25">
      <c r="A34" s="30"/>
      <c r="B34" s="31"/>
      <c r="C34" s="32">
        <v>42545</v>
      </c>
      <c r="D34" s="37"/>
      <c r="E34" s="37"/>
      <c r="F34" s="34"/>
      <c r="G34" s="34"/>
      <c r="H34" s="112"/>
      <c r="I34" s="113"/>
      <c r="J34" s="38"/>
      <c r="K34" s="38"/>
      <c r="L34" s="36">
        <v>0</v>
      </c>
    </row>
    <row r="35" spans="1:12" x14ac:dyDescent="0.25">
      <c r="A35" s="30"/>
      <c r="B35" s="31" t="s">
        <v>12</v>
      </c>
      <c r="C35" s="32">
        <v>42546</v>
      </c>
      <c r="D35" s="37"/>
      <c r="E35" s="37"/>
      <c r="F35" s="34"/>
      <c r="G35" s="34"/>
      <c r="H35" s="112"/>
      <c r="I35" s="113"/>
      <c r="J35" s="38"/>
      <c r="K35" s="38"/>
      <c r="L35" s="36">
        <v>0</v>
      </c>
    </row>
    <row r="36" spans="1:12" x14ac:dyDescent="0.25">
      <c r="A36" s="30"/>
      <c r="B36" s="31" t="s">
        <v>12</v>
      </c>
      <c r="C36" s="32">
        <v>42547</v>
      </c>
      <c r="D36" s="37"/>
      <c r="E36" s="37"/>
      <c r="F36" s="34"/>
      <c r="G36" s="34"/>
      <c r="H36" s="112"/>
      <c r="I36" s="113"/>
      <c r="J36" s="38"/>
      <c r="K36" s="38"/>
      <c r="L36" s="36">
        <v>0</v>
      </c>
    </row>
    <row r="37" spans="1:12" x14ac:dyDescent="0.25">
      <c r="A37" s="30"/>
      <c r="B37" s="31"/>
      <c r="C37" s="32">
        <v>42548</v>
      </c>
      <c r="D37" s="37"/>
      <c r="E37" s="37"/>
      <c r="F37" s="34"/>
      <c r="G37" s="34"/>
      <c r="H37" s="112"/>
      <c r="I37" s="113"/>
      <c r="J37" s="38"/>
      <c r="K37" s="38"/>
      <c r="L37" s="36">
        <v>0</v>
      </c>
    </row>
    <row r="38" spans="1:12" x14ac:dyDescent="0.25">
      <c r="A38" s="30"/>
      <c r="B38" s="31"/>
      <c r="C38" s="32">
        <v>42549</v>
      </c>
      <c r="D38" s="37"/>
      <c r="E38" s="37"/>
      <c r="F38" s="34"/>
      <c r="G38" s="34"/>
      <c r="H38" s="112"/>
      <c r="I38" s="113"/>
      <c r="J38" s="38"/>
      <c r="K38" s="38"/>
      <c r="L38" s="36">
        <v>0</v>
      </c>
    </row>
    <row r="39" spans="1:12" x14ac:dyDescent="0.25">
      <c r="A39" s="30"/>
      <c r="B39" s="31"/>
      <c r="C39" s="32">
        <v>42550</v>
      </c>
      <c r="D39" s="37"/>
      <c r="E39" s="37"/>
      <c r="F39" s="34"/>
      <c r="G39" s="34"/>
      <c r="H39" s="112"/>
      <c r="I39" s="113"/>
      <c r="J39" s="38"/>
      <c r="K39" s="38"/>
      <c r="L39" s="36">
        <v>0</v>
      </c>
    </row>
    <row r="40" spans="1:12" x14ac:dyDescent="0.25">
      <c r="A40" s="30"/>
      <c r="B40" s="31"/>
      <c r="C40" s="32">
        <v>42551</v>
      </c>
      <c r="D40" s="37"/>
      <c r="E40" s="37"/>
      <c r="F40" s="34"/>
      <c r="G40" s="34"/>
      <c r="H40" s="112"/>
      <c r="I40" s="113"/>
      <c r="J40" s="38"/>
      <c r="K40" s="38"/>
      <c r="L40" s="36">
        <v>0</v>
      </c>
    </row>
    <row r="41" spans="1:12" x14ac:dyDescent="0.25">
      <c r="A41" s="30"/>
      <c r="B41" s="31"/>
      <c r="C41" s="32"/>
      <c r="D41" s="37"/>
      <c r="E41" s="37"/>
      <c r="F41" s="34"/>
      <c r="G41" s="34"/>
      <c r="H41" s="112"/>
      <c r="I41" s="113"/>
      <c r="J41" s="38"/>
      <c r="K41" s="38"/>
      <c r="L41" s="36">
        <v>0</v>
      </c>
    </row>
    <row r="42" spans="1:12" ht="15.75" x14ac:dyDescent="0.3">
      <c r="A42" s="6"/>
      <c r="B42" s="104" t="s">
        <v>18</v>
      </c>
      <c r="C42" s="105"/>
      <c r="D42" s="114"/>
      <c r="E42" s="115"/>
      <c r="F42" s="115"/>
      <c r="G42" s="115"/>
      <c r="H42" s="115"/>
      <c r="I42" s="116"/>
      <c r="J42" s="39">
        <v>0</v>
      </c>
      <c r="K42" s="39">
        <v>0</v>
      </c>
      <c r="L42" s="39">
        <v>0</v>
      </c>
    </row>
    <row r="43" spans="1:12" ht="15.75" x14ac:dyDescent="0.3">
      <c r="A43" s="6"/>
      <c r="B43" s="104" t="s">
        <v>19</v>
      </c>
      <c r="C43" s="105"/>
      <c r="D43" s="109"/>
      <c r="E43" s="110"/>
      <c r="F43" s="110"/>
      <c r="G43" s="110"/>
      <c r="H43" s="110"/>
      <c r="I43" s="111"/>
      <c r="J43" s="40"/>
      <c r="K43" s="40"/>
      <c r="L43" s="41"/>
    </row>
    <row r="44" spans="1:12" ht="15.75" x14ac:dyDescent="0.3">
      <c r="A44" s="6"/>
      <c r="B44" s="104" t="s">
        <v>20</v>
      </c>
      <c r="C44" s="105"/>
      <c r="D44" s="106"/>
      <c r="E44" s="107"/>
      <c r="F44" s="107"/>
      <c r="G44" s="107"/>
      <c r="H44" s="107"/>
      <c r="I44" s="108"/>
      <c r="J44" s="42">
        <v>0</v>
      </c>
      <c r="K44" s="42">
        <v>0</v>
      </c>
      <c r="L44" s="42">
        <v>0</v>
      </c>
    </row>
    <row r="45" spans="1:12" ht="15.75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.75" x14ac:dyDescent="0.3">
      <c r="A46" s="6"/>
      <c r="B46" s="3"/>
      <c r="C46" s="3"/>
      <c r="D46" s="101"/>
      <c r="E46" s="101"/>
      <c r="F46" s="101"/>
      <c r="G46" s="101"/>
      <c r="H46" s="101"/>
      <c r="I46" s="101"/>
      <c r="J46" s="22"/>
      <c r="K46" s="102"/>
      <c r="L46" s="102"/>
    </row>
    <row r="47" spans="1:12" ht="15.75" x14ac:dyDescent="0.3">
      <c r="A47" s="6"/>
      <c r="B47" s="6"/>
      <c r="C47" s="6"/>
      <c r="D47" s="103" t="s">
        <v>21</v>
      </c>
      <c r="E47" s="103"/>
      <c r="F47" s="103"/>
      <c r="G47" s="103"/>
      <c r="H47" s="103"/>
      <c r="I47" s="103"/>
      <c r="J47" s="6"/>
      <c r="K47" s="5" t="s">
        <v>9</v>
      </c>
      <c r="L47" s="4"/>
    </row>
    <row r="48" spans="1:12" ht="15.75" x14ac:dyDescent="0.3">
      <c r="A48" s="6"/>
      <c r="B48" s="6"/>
      <c r="C48" s="6"/>
      <c r="D48" s="101"/>
      <c r="E48" s="101"/>
      <c r="F48" s="101"/>
      <c r="G48" s="101"/>
      <c r="H48" s="101"/>
      <c r="I48" s="101"/>
      <c r="J48" s="22"/>
      <c r="K48" s="102"/>
      <c r="L48" s="102"/>
    </row>
    <row r="49" spans="1:12" ht="15.75" x14ac:dyDescent="0.3">
      <c r="A49" s="6"/>
      <c r="B49" s="6"/>
      <c r="C49" s="6"/>
      <c r="D49" s="103" t="s">
        <v>26</v>
      </c>
      <c r="E49" s="103"/>
      <c r="F49" s="103"/>
      <c r="G49" s="103"/>
      <c r="H49" s="103"/>
      <c r="I49" s="103"/>
      <c r="J49" s="6"/>
      <c r="K49" s="5" t="s">
        <v>9</v>
      </c>
      <c r="L49" s="4"/>
    </row>
    <row r="50" spans="1:12" ht="16.5" x14ac:dyDescent="0.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 spans="1:12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</sheetData>
  <mergeCells count="65">
    <mergeCell ref="B4:E4"/>
    <mergeCell ref="F1:L1"/>
    <mergeCell ref="B2:E2"/>
    <mergeCell ref="J2:L2"/>
    <mergeCell ref="B3:E3"/>
    <mergeCell ref="J3:L3"/>
    <mergeCell ref="B6:C6"/>
    <mergeCell ref="D6:F6"/>
    <mergeCell ref="J6:L6"/>
    <mergeCell ref="B7:C7"/>
    <mergeCell ref="D7:F7"/>
    <mergeCell ref="J7:L7"/>
    <mergeCell ref="B9:B10"/>
    <mergeCell ref="C9:C10"/>
    <mergeCell ref="D9:E9"/>
    <mergeCell ref="F9:G9"/>
    <mergeCell ref="H9:I10"/>
    <mergeCell ref="H20:I20"/>
    <mergeCell ref="K9:K10"/>
    <mergeCell ref="L9:L10"/>
    <mergeCell ref="H11:I11"/>
    <mergeCell ref="H12:I12"/>
    <mergeCell ref="H13:I13"/>
    <mergeCell ref="H14:I14"/>
    <mergeCell ref="J9:J10"/>
    <mergeCell ref="H15:I15"/>
    <mergeCell ref="H16:I16"/>
    <mergeCell ref="H17:I17"/>
    <mergeCell ref="H18:I18"/>
    <mergeCell ref="H19:I19"/>
    <mergeCell ref="H32:I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B43:C43"/>
    <mergeCell ref="D43:I43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B42:C42"/>
    <mergeCell ref="D42:I42"/>
    <mergeCell ref="D48:I48"/>
    <mergeCell ref="K48:L48"/>
    <mergeCell ref="D49:F49"/>
    <mergeCell ref="G49:I49"/>
    <mergeCell ref="B44:C44"/>
    <mergeCell ref="D44:I44"/>
    <mergeCell ref="D46:I46"/>
    <mergeCell ref="K46:L46"/>
    <mergeCell ref="D47:F47"/>
    <mergeCell ref="G47:I47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>
      <selection activeCell="J6" sqref="J6:L6"/>
    </sheetView>
  </sheetViews>
  <sheetFormatPr defaultColWidth="11.42578125" defaultRowHeight="15" x14ac:dyDescent="0.25"/>
  <sheetData>
    <row r="1" spans="1:12" ht="42" customHeight="1" x14ac:dyDescent="0.3">
      <c r="F1" s="163" t="s">
        <v>0</v>
      </c>
      <c r="G1" s="163"/>
      <c r="H1" s="163"/>
      <c r="I1" s="163"/>
      <c r="J1" s="163"/>
      <c r="K1" s="163"/>
      <c r="L1" s="163"/>
    </row>
    <row r="2" spans="1:12" x14ac:dyDescent="0.25">
      <c r="A2" s="25"/>
      <c r="B2" s="131" t="s">
        <v>6</v>
      </c>
      <c r="C2" s="131"/>
      <c r="D2" s="131"/>
      <c r="E2" s="131"/>
      <c r="F2" s="4"/>
      <c r="G2" s="4"/>
      <c r="H2" s="4"/>
      <c r="I2" s="4" t="s">
        <v>1</v>
      </c>
      <c r="J2" s="136">
        <v>42552</v>
      </c>
      <c r="K2" s="136"/>
      <c r="L2" s="136"/>
    </row>
    <row r="3" spans="1:12" x14ac:dyDescent="0.25">
      <c r="A3" s="25"/>
      <c r="B3" s="131" t="s">
        <v>8</v>
      </c>
      <c r="C3" s="131"/>
      <c r="D3" s="131"/>
      <c r="E3" s="131"/>
      <c r="F3" s="4"/>
      <c r="G3" s="4"/>
      <c r="H3" s="4"/>
      <c r="I3" s="4" t="s">
        <v>2</v>
      </c>
      <c r="J3" s="164" t="s">
        <v>33</v>
      </c>
      <c r="K3" s="164"/>
      <c r="L3" s="164"/>
    </row>
    <row r="4" spans="1:12" x14ac:dyDescent="0.25">
      <c r="A4" s="25"/>
      <c r="B4" s="131" t="s">
        <v>7</v>
      </c>
      <c r="C4" s="131"/>
      <c r="D4" s="131"/>
      <c r="E4" s="131"/>
      <c r="F4" s="23"/>
      <c r="G4" s="24"/>
      <c r="H4" s="4"/>
      <c r="I4" s="24"/>
      <c r="J4" s="24"/>
      <c r="K4" s="26"/>
      <c r="L4" s="26"/>
    </row>
    <row r="5" spans="1:12" x14ac:dyDescent="0.25">
      <c r="A5" s="25"/>
      <c r="B5" s="24"/>
      <c r="C5" s="24"/>
      <c r="D5" s="24"/>
      <c r="E5" s="24"/>
      <c r="F5" s="4"/>
      <c r="G5" s="24"/>
      <c r="H5" s="4"/>
      <c r="I5" s="24"/>
      <c r="J5" s="24"/>
      <c r="K5" s="24"/>
      <c r="L5" s="24"/>
    </row>
    <row r="6" spans="1:12" x14ac:dyDescent="0.25">
      <c r="A6" s="25"/>
      <c r="B6" s="131" t="s">
        <v>23</v>
      </c>
      <c r="C6" s="131"/>
      <c r="D6" s="132"/>
      <c r="E6" s="132"/>
      <c r="F6" s="132"/>
      <c r="G6" s="4"/>
      <c r="H6" s="23"/>
      <c r="I6" s="24" t="s">
        <v>22</v>
      </c>
      <c r="J6" s="132"/>
      <c r="K6" s="132"/>
      <c r="L6" s="132"/>
    </row>
    <row r="7" spans="1:12" x14ac:dyDescent="0.25">
      <c r="A7" s="25"/>
      <c r="B7" s="131" t="s">
        <v>24</v>
      </c>
      <c r="C7" s="131"/>
      <c r="D7" s="133"/>
      <c r="E7" s="133"/>
      <c r="F7" s="133"/>
      <c r="G7" s="4"/>
      <c r="H7" s="23"/>
      <c r="I7" s="24" t="s">
        <v>25</v>
      </c>
      <c r="J7" s="134"/>
      <c r="K7" s="134"/>
      <c r="L7" s="134"/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9"/>
      <c r="B9" s="153" t="s">
        <v>10</v>
      </c>
      <c r="C9" s="153" t="s">
        <v>9</v>
      </c>
      <c r="D9" s="157" t="s">
        <v>3</v>
      </c>
      <c r="E9" s="158"/>
      <c r="F9" s="157" t="s">
        <v>4</v>
      </c>
      <c r="G9" s="158"/>
      <c r="H9" s="159" t="s">
        <v>29</v>
      </c>
      <c r="I9" s="160"/>
      <c r="J9" s="151" t="s">
        <v>30</v>
      </c>
      <c r="K9" s="151" t="s">
        <v>4</v>
      </c>
      <c r="L9" s="153" t="s">
        <v>5</v>
      </c>
    </row>
    <row r="10" spans="1:12" x14ac:dyDescent="0.25">
      <c r="A10" s="9"/>
      <c r="B10" s="154"/>
      <c r="C10" s="154"/>
      <c r="D10" s="11" t="s">
        <v>27</v>
      </c>
      <c r="E10" s="11" t="s">
        <v>28</v>
      </c>
      <c r="F10" s="11" t="s">
        <v>27</v>
      </c>
      <c r="G10" s="11" t="s">
        <v>28</v>
      </c>
      <c r="H10" s="161"/>
      <c r="I10" s="162"/>
      <c r="J10" s="152"/>
      <c r="K10" s="152"/>
      <c r="L10" s="154"/>
    </row>
    <row r="11" spans="1:12" x14ac:dyDescent="0.25">
      <c r="A11" s="8"/>
      <c r="B11" s="10"/>
      <c r="C11" s="12">
        <f>J2</f>
        <v>42552</v>
      </c>
      <c r="D11" s="19"/>
      <c r="E11" s="19"/>
      <c r="F11" s="18"/>
      <c r="G11" s="18"/>
      <c r="H11" s="155" t="s">
        <v>32</v>
      </c>
      <c r="I11" s="156"/>
      <c r="J11" s="20"/>
      <c r="K11" s="20"/>
      <c r="L11" s="21">
        <f>J11+K11</f>
        <v>0</v>
      </c>
    </row>
    <row r="12" spans="1:12" x14ac:dyDescent="0.25">
      <c r="A12" s="8"/>
      <c r="B12" s="10" t="s">
        <v>12</v>
      </c>
      <c r="C12" s="12">
        <v>42553</v>
      </c>
      <c r="D12" s="17"/>
      <c r="E12" s="17"/>
      <c r="F12" s="18"/>
      <c r="G12" s="18"/>
      <c r="H12" s="146"/>
      <c r="I12" s="147"/>
      <c r="J12" s="15"/>
      <c r="K12" s="20"/>
      <c r="L12" s="21">
        <f t="shared" ref="L12:L41" si="0">J12+K12</f>
        <v>0</v>
      </c>
    </row>
    <row r="13" spans="1:12" x14ac:dyDescent="0.25">
      <c r="A13" s="8"/>
      <c r="B13" s="10" t="s">
        <v>12</v>
      </c>
      <c r="C13" s="12">
        <v>42554</v>
      </c>
      <c r="D13" s="17"/>
      <c r="E13" s="17"/>
      <c r="F13" s="18"/>
      <c r="G13" s="18"/>
      <c r="H13" s="146"/>
      <c r="I13" s="147"/>
      <c r="J13" s="15"/>
      <c r="K13" s="20"/>
      <c r="L13" s="21">
        <f t="shared" si="0"/>
        <v>0</v>
      </c>
    </row>
    <row r="14" spans="1:12" x14ac:dyDescent="0.25">
      <c r="A14" s="8"/>
      <c r="B14" s="10"/>
      <c r="C14" s="12">
        <v>42555</v>
      </c>
      <c r="D14" s="17"/>
      <c r="E14" s="17"/>
      <c r="F14" s="18"/>
      <c r="G14" s="18"/>
      <c r="H14" s="146"/>
      <c r="I14" s="147"/>
      <c r="J14" s="15"/>
      <c r="K14" s="20"/>
      <c r="L14" s="21">
        <f t="shared" si="0"/>
        <v>0</v>
      </c>
    </row>
    <row r="15" spans="1:12" x14ac:dyDescent="0.25">
      <c r="A15" s="8"/>
      <c r="B15" s="10"/>
      <c r="C15" s="12">
        <v>42556</v>
      </c>
      <c r="D15" s="17"/>
      <c r="E15" s="17"/>
      <c r="F15" s="18"/>
      <c r="G15" s="18"/>
      <c r="H15" s="146"/>
      <c r="I15" s="147"/>
      <c r="J15" s="15"/>
      <c r="K15" s="20"/>
      <c r="L15" s="21">
        <f t="shared" si="0"/>
        <v>0</v>
      </c>
    </row>
    <row r="16" spans="1:12" x14ac:dyDescent="0.25">
      <c r="A16" s="8"/>
      <c r="B16" s="10"/>
      <c r="C16" s="12">
        <v>42557</v>
      </c>
      <c r="D16" s="17"/>
      <c r="E16" s="17"/>
      <c r="F16" s="18"/>
      <c r="G16" s="18"/>
      <c r="H16" s="146"/>
      <c r="I16" s="147"/>
      <c r="J16" s="15"/>
      <c r="K16" s="20"/>
      <c r="L16" s="21">
        <f t="shared" si="0"/>
        <v>0</v>
      </c>
    </row>
    <row r="17" spans="1:12" x14ac:dyDescent="0.25">
      <c r="A17" s="8"/>
      <c r="B17" s="10"/>
      <c r="C17" s="12">
        <v>42558</v>
      </c>
      <c r="D17" s="17"/>
      <c r="E17" s="17"/>
      <c r="F17" s="18"/>
      <c r="G17" s="18"/>
      <c r="H17" s="146"/>
      <c r="I17" s="147"/>
      <c r="J17" s="15"/>
      <c r="K17" s="20"/>
      <c r="L17" s="21">
        <f t="shared" si="0"/>
        <v>0</v>
      </c>
    </row>
    <row r="18" spans="1:12" x14ac:dyDescent="0.25">
      <c r="A18" s="8"/>
      <c r="B18" s="10"/>
      <c r="C18" s="12">
        <v>42559</v>
      </c>
      <c r="D18" s="17"/>
      <c r="E18" s="17"/>
      <c r="F18" s="18"/>
      <c r="G18" s="18"/>
      <c r="H18" s="146"/>
      <c r="I18" s="147"/>
      <c r="J18" s="15"/>
      <c r="K18" s="20"/>
      <c r="L18" s="21">
        <f t="shared" si="0"/>
        <v>0</v>
      </c>
    </row>
    <row r="19" spans="1:12" x14ac:dyDescent="0.25">
      <c r="A19" s="8"/>
      <c r="B19" s="10" t="s">
        <v>12</v>
      </c>
      <c r="C19" s="12">
        <v>42560</v>
      </c>
      <c r="D19" s="17"/>
      <c r="E19" s="17"/>
      <c r="F19" s="18"/>
      <c r="G19" s="18"/>
      <c r="H19" s="146"/>
      <c r="I19" s="147"/>
      <c r="J19" s="15"/>
      <c r="K19" s="20"/>
      <c r="L19" s="21">
        <f t="shared" si="0"/>
        <v>0</v>
      </c>
    </row>
    <row r="20" spans="1:12" x14ac:dyDescent="0.25">
      <c r="A20" s="8"/>
      <c r="B20" s="10" t="s">
        <v>12</v>
      </c>
      <c r="C20" s="12">
        <v>42561</v>
      </c>
      <c r="D20" s="17"/>
      <c r="E20" s="17"/>
      <c r="F20" s="18"/>
      <c r="G20" s="18"/>
      <c r="H20" s="146"/>
      <c r="I20" s="147"/>
      <c r="J20" s="15"/>
      <c r="K20" s="20"/>
      <c r="L20" s="21">
        <f t="shared" si="0"/>
        <v>0</v>
      </c>
    </row>
    <row r="21" spans="1:12" x14ac:dyDescent="0.25">
      <c r="A21" s="8"/>
      <c r="B21" s="10"/>
      <c r="C21" s="12">
        <v>42562</v>
      </c>
      <c r="D21" s="17"/>
      <c r="E21" s="17"/>
      <c r="F21" s="18"/>
      <c r="G21" s="18"/>
      <c r="H21" s="146"/>
      <c r="I21" s="147"/>
      <c r="J21" s="15"/>
      <c r="K21" s="20"/>
      <c r="L21" s="21">
        <f t="shared" si="0"/>
        <v>0</v>
      </c>
    </row>
    <row r="22" spans="1:12" x14ac:dyDescent="0.25">
      <c r="A22" s="8"/>
      <c r="B22" s="10"/>
      <c r="C22" s="12">
        <v>42563</v>
      </c>
      <c r="D22" s="17"/>
      <c r="E22" s="17"/>
      <c r="F22" s="18"/>
      <c r="G22" s="18"/>
      <c r="H22" s="146"/>
      <c r="I22" s="147"/>
      <c r="J22" s="15"/>
      <c r="K22" s="20"/>
      <c r="L22" s="21">
        <f t="shared" si="0"/>
        <v>0</v>
      </c>
    </row>
    <row r="23" spans="1:12" x14ac:dyDescent="0.25">
      <c r="A23" s="8"/>
      <c r="B23" s="10"/>
      <c r="C23" s="12">
        <v>42564</v>
      </c>
      <c r="D23" s="17"/>
      <c r="E23" s="17"/>
      <c r="F23" s="18"/>
      <c r="G23" s="18"/>
      <c r="H23" s="146"/>
      <c r="I23" s="147"/>
      <c r="J23" s="15"/>
      <c r="K23" s="20"/>
      <c r="L23" s="21">
        <f t="shared" si="0"/>
        <v>0</v>
      </c>
    </row>
    <row r="24" spans="1:12" x14ac:dyDescent="0.25">
      <c r="A24" s="8"/>
      <c r="B24" s="10"/>
      <c r="C24" s="12">
        <v>42565</v>
      </c>
      <c r="D24" s="17"/>
      <c r="E24" s="17"/>
      <c r="F24" s="18"/>
      <c r="G24" s="18"/>
      <c r="H24" s="146"/>
      <c r="I24" s="147"/>
      <c r="J24" s="15"/>
      <c r="K24" s="15"/>
      <c r="L24" s="21">
        <f t="shared" si="0"/>
        <v>0</v>
      </c>
    </row>
    <row r="25" spans="1:12" x14ac:dyDescent="0.25">
      <c r="A25" s="8"/>
      <c r="B25" s="10"/>
      <c r="C25" s="12">
        <v>42566</v>
      </c>
      <c r="D25" s="17"/>
      <c r="E25" s="17"/>
      <c r="F25" s="18"/>
      <c r="G25" s="18"/>
      <c r="H25" s="146"/>
      <c r="I25" s="147"/>
      <c r="J25" s="15"/>
      <c r="K25" s="15"/>
      <c r="L25" s="21">
        <f>J25+K25</f>
        <v>0</v>
      </c>
    </row>
    <row r="26" spans="1:12" x14ac:dyDescent="0.25">
      <c r="A26" s="8"/>
      <c r="B26" s="10" t="s">
        <v>12</v>
      </c>
      <c r="C26" s="12">
        <v>42567</v>
      </c>
      <c r="D26" s="17"/>
      <c r="E26" s="17"/>
      <c r="F26" s="18"/>
      <c r="G26" s="18"/>
      <c r="H26" s="146"/>
      <c r="I26" s="147"/>
      <c r="J26" s="15"/>
      <c r="K26" s="15"/>
      <c r="L26" s="21">
        <f t="shared" si="0"/>
        <v>0</v>
      </c>
    </row>
    <row r="27" spans="1:12" x14ac:dyDescent="0.25">
      <c r="A27" s="8"/>
      <c r="B27" s="10" t="s">
        <v>12</v>
      </c>
      <c r="C27" s="12">
        <v>42568</v>
      </c>
      <c r="D27" s="17"/>
      <c r="E27" s="17"/>
      <c r="F27" s="18"/>
      <c r="G27" s="18"/>
      <c r="H27" s="146"/>
      <c r="I27" s="147"/>
      <c r="J27" s="15"/>
      <c r="K27" s="15"/>
      <c r="L27" s="21">
        <f t="shared" si="0"/>
        <v>0</v>
      </c>
    </row>
    <row r="28" spans="1:12" x14ac:dyDescent="0.25">
      <c r="A28" s="8"/>
      <c r="B28" s="10"/>
      <c r="C28" s="12">
        <v>42569</v>
      </c>
      <c r="D28" s="17"/>
      <c r="E28" s="17"/>
      <c r="F28" s="18"/>
      <c r="G28" s="18"/>
      <c r="H28" s="146"/>
      <c r="I28" s="147"/>
      <c r="J28" s="15"/>
      <c r="K28" s="15"/>
      <c r="L28" s="21">
        <f t="shared" si="0"/>
        <v>0</v>
      </c>
    </row>
    <row r="29" spans="1:12" x14ac:dyDescent="0.25">
      <c r="A29" s="8"/>
      <c r="B29" s="10"/>
      <c r="C29" s="12">
        <v>42570</v>
      </c>
      <c r="D29" s="17"/>
      <c r="E29" s="17"/>
      <c r="F29" s="18"/>
      <c r="G29" s="18"/>
      <c r="H29" s="146"/>
      <c r="I29" s="147"/>
      <c r="J29" s="15"/>
      <c r="K29" s="15"/>
      <c r="L29" s="21">
        <f t="shared" si="0"/>
        <v>0</v>
      </c>
    </row>
    <row r="30" spans="1:12" x14ac:dyDescent="0.25">
      <c r="A30" s="8"/>
      <c r="B30" s="10"/>
      <c r="C30" s="12">
        <v>42571</v>
      </c>
      <c r="D30" s="17"/>
      <c r="E30" s="17"/>
      <c r="F30" s="18"/>
      <c r="G30" s="18"/>
      <c r="H30" s="146"/>
      <c r="I30" s="147"/>
      <c r="J30" s="15"/>
      <c r="K30" s="15"/>
      <c r="L30" s="21">
        <f t="shared" si="0"/>
        <v>0</v>
      </c>
    </row>
    <row r="31" spans="1:12" x14ac:dyDescent="0.25">
      <c r="A31" s="8"/>
      <c r="B31" s="10"/>
      <c r="C31" s="12">
        <v>42572</v>
      </c>
      <c r="D31" s="17"/>
      <c r="E31" s="17"/>
      <c r="F31" s="18"/>
      <c r="G31" s="18"/>
      <c r="H31" s="146"/>
      <c r="I31" s="147"/>
      <c r="J31" s="15"/>
      <c r="K31" s="15"/>
      <c r="L31" s="21">
        <f t="shared" si="0"/>
        <v>0</v>
      </c>
    </row>
    <row r="32" spans="1:12" x14ac:dyDescent="0.25">
      <c r="A32" s="8"/>
      <c r="B32" s="10"/>
      <c r="C32" s="12">
        <v>42573</v>
      </c>
      <c r="D32" s="17"/>
      <c r="E32" s="17"/>
      <c r="F32" s="18"/>
      <c r="G32" s="18"/>
      <c r="H32" s="146"/>
      <c r="I32" s="147"/>
      <c r="J32" s="15"/>
      <c r="K32" s="15"/>
      <c r="L32" s="21">
        <f t="shared" si="0"/>
        <v>0</v>
      </c>
    </row>
    <row r="33" spans="1:12" x14ac:dyDescent="0.25">
      <c r="A33" s="8"/>
      <c r="B33" s="10" t="s">
        <v>12</v>
      </c>
      <c r="C33" s="12">
        <v>42574</v>
      </c>
      <c r="D33" s="17"/>
      <c r="E33" s="17"/>
      <c r="F33" s="18"/>
      <c r="G33" s="18"/>
      <c r="H33" s="146"/>
      <c r="I33" s="147"/>
      <c r="J33" s="15"/>
      <c r="K33" s="15"/>
      <c r="L33" s="21">
        <f t="shared" si="0"/>
        <v>0</v>
      </c>
    </row>
    <row r="34" spans="1:12" x14ac:dyDescent="0.25">
      <c r="A34" s="8"/>
      <c r="B34" s="10" t="s">
        <v>12</v>
      </c>
      <c r="C34" s="12">
        <v>42575</v>
      </c>
      <c r="D34" s="17"/>
      <c r="E34" s="17"/>
      <c r="F34" s="18"/>
      <c r="G34" s="18"/>
      <c r="H34" s="146"/>
      <c r="I34" s="147"/>
      <c r="J34" s="15"/>
      <c r="K34" s="15"/>
      <c r="L34" s="21">
        <f t="shared" si="0"/>
        <v>0</v>
      </c>
    </row>
    <row r="35" spans="1:12" x14ac:dyDescent="0.25">
      <c r="A35" s="8"/>
      <c r="B35" s="10"/>
      <c r="C35" s="12">
        <v>42576</v>
      </c>
      <c r="D35" s="17"/>
      <c r="E35" s="17"/>
      <c r="F35" s="18"/>
      <c r="G35" s="18"/>
      <c r="H35" s="146"/>
      <c r="I35" s="147"/>
      <c r="J35" s="15"/>
      <c r="K35" s="15"/>
      <c r="L35" s="21">
        <f>J35+K35</f>
        <v>0</v>
      </c>
    </row>
    <row r="36" spans="1:12" x14ac:dyDescent="0.25">
      <c r="A36" s="8"/>
      <c r="B36" s="10"/>
      <c r="C36" s="12">
        <v>42577</v>
      </c>
      <c r="D36" s="17"/>
      <c r="E36" s="17"/>
      <c r="F36" s="18"/>
      <c r="G36" s="18"/>
      <c r="H36" s="146"/>
      <c r="I36" s="147"/>
      <c r="J36" s="15"/>
      <c r="K36" s="15"/>
      <c r="L36" s="21">
        <f t="shared" si="0"/>
        <v>0</v>
      </c>
    </row>
    <row r="37" spans="1:12" x14ac:dyDescent="0.25">
      <c r="A37" s="8"/>
      <c r="B37" s="10"/>
      <c r="C37" s="12">
        <v>42578</v>
      </c>
      <c r="D37" s="17"/>
      <c r="E37" s="17"/>
      <c r="F37" s="18"/>
      <c r="G37" s="18"/>
      <c r="H37" s="146"/>
      <c r="I37" s="147"/>
      <c r="J37" s="15"/>
      <c r="K37" s="15"/>
      <c r="L37" s="21">
        <f t="shared" si="0"/>
        <v>0</v>
      </c>
    </row>
    <row r="38" spans="1:12" x14ac:dyDescent="0.25">
      <c r="A38" s="8"/>
      <c r="B38" s="10"/>
      <c r="C38" s="12">
        <v>42579</v>
      </c>
      <c r="D38" s="17"/>
      <c r="E38" s="17"/>
      <c r="F38" s="18"/>
      <c r="G38" s="18"/>
      <c r="H38" s="146"/>
      <c r="I38" s="147"/>
      <c r="J38" s="15"/>
      <c r="K38" s="15"/>
      <c r="L38" s="21">
        <f t="shared" si="0"/>
        <v>0</v>
      </c>
    </row>
    <row r="39" spans="1:12" x14ac:dyDescent="0.25">
      <c r="A39" s="8"/>
      <c r="B39" s="10"/>
      <c r="C39" s="12">
        <v>42580</v>
      </c>
      <c r="D39" s="17"/>
      <c r="E39" s="17"/>
      <c r="F39" s="18"/>
      <c r="G39" s="18"/>
      <c r="H39" s="146"/>
      <c r="I39" s="147"/>
      <c r="J39" s="15"/>
      <c r="K39" s="15"/>
      <c r="L39" s="21">
        <f t="shared" si="0"/>
        <v>0</v>
      </c>
    </row>
    <row r="40" spans="1:12" x14ac:dyDescent="0.25">
      <c r="A40" s="8"/>
      <c r="B40" s="10" t="s">
        <v>12</v>
      </c>
      <c r="C40" s="12">
        <v>42581</v>
      </c>
      <c r="D40" s="17"/>
      <c r="E40" s="17"/>
      <c r="F40" s="18"/>
      <c r="G40" s="18"/>
      <c r="H40" s="146"/>
      <c r="I40" s="147"/>
      <c r="J40" s="15"/>
      <c r="K40" s="15"/>
      <c r="L40" s="21">
        <f t="shared" si="0"/>
        <v>0</v>
      </c>
    </row>
    <row r="41" spans="1:12" x14ac:dyDescent="0.25">
      <c r="A41" s="8"/>
      <c r="B41" s="10" t="s">
        <v>12</v>
      </c>
      <c r="C41" s="12">
        <v>42582</v>
      </c>
      <c r="D41" s="17"/>
      <c r="E41" s="17"/>
      <c r="F41" s="18"/>
      <c r="G41" s="18"/>
      <c r="H41" s="146"/>
      <c r="I41" s="147"/>
      <c r="J41" s="15"/>
      <c r="K41" s="15"/>
      <c r="L41" s="21">
        <f t="shared" si="0"/>
        <v>0</v>
      </c>
    </row>
    <row r="42" spans="1:12" ht="15.75" x14ac:dyDescent="0.3">
      <c r="A42" s="6"/>
      <c r="B42" s="139" t="s">
        <v>18</v>
      </c>
      <c r="C42" s="139"/>
      <c r="D42" s="148"/>
      <c r="E42" s="149"/>
      <c r="F42" s="149"/>
      <c r="G42" s="149"/>
      <c r="H42" s="149"/>
      <c r="I42" s="150"/>
      <c r="J42" s="13">
        <f>SUM(J11:J41)</f>
        <v>0</v>
      </c>
      <c r="K42" s="13">
        <f t="shared" ref="K42:L42" si="1">SUM(K11:K41)</f>
        <v>0</v>
      </c>
      <c r="L42" s="13">
        <f t="shared" si="1"/>
        <v>0</v>
      </c>
    </row>
    <row r="43" spans="1:12" ht="15.75" x14ac:dyDescent="0.3">
      <c r="A43" s="6"/>
      <c r="B43" s="139" t="s">
        <v>19</v>
      </c>
      <c r="C43" s="139"/>
      <c r="D43" s="143"/>
      <c r="E43" s="144"/>
      <c r="F43" s="144"/>
      <c r="G43" s="144"/>
      <c r="H43" s="144"/>
      <c r="I43" s="145"/>
      <c r="J43" s="14"/>
      <c r="K43" s="14"/>
      <c r="L43" s="7"/>
    </row>
    <row r="44" spans="1:12" ht="15.75" x14ac:dyDescent="0.3">
      <c r="A44" s="6"/>
      <c r="B44" s="139" t="s">
        <v>20</v>
      </c>
      <c r="C44" s="139"/>
      <c r="D44" s="140"/>
      <c r="E44" s="141"/>
      <c r="F44" s="141"/>
      <c r="G44" s="141"/>
      <c r="H44" s="141"/>
      <c r="I44" s="142"/>
      <c r="J44" s="16">
        <f>J42*J43</f>
        <v>0</v>
      </c>
      <c r="K44" s="16">
        <f>K42*K43</f>
        <v>0</v>
      </c>
      <c r="L44" s="16">
        <f>SUM(E44:J44)</f>
        <v>0</v>
      </c>
    </row>
    <row r="45" spans="1:12" ht="15.75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.75" x14ac:dyDescent="0.3">
      <c r="A46" s="6"/>
      <c r="B46" s="3"/>
      <c r="C46" s="3"/>
      <c r="D46" s="101"/>
      <c r="E46" s="101"/>
      <c r="F46" s="101"/>
      <c r="G46" s="101"/>
      <c r="H46" s="101"/>
      <c r="I46" s="101"/>
      <c r="J46" s="22"/>
      <c r="K46" s="102"/>
      <c r="L46" s="102"/>
    </row>
    <row r="47" spans="1:12" ht="15.75" x14ac:dyDescent="0.3">
      <c r="A47" s="6"/>
      <c r="B47" s="6"/>
      <c r="C47" s="6"/>
      <c r="D47" s="138" t="s">
        <v>21</v>
      </c>
      <c r="E47" s="138"/>
      <c r="F47" s="138"/>
      <c r="G47" s="103"/>
      <c r="H47" s="103"/>
      <c r="I47" s="103"/>
      <c r="J47" s="6"/>
      <c r="K47" s="5" t="s">
        <v>9</v>
      </c>
      <c r="L47" s="4"/>
    </row>
    <row r="48" spans="1:12" ht="15.75" x14ac:dyDescent="0.3">
      <c r="A48" s="6"/>
      <c r="B48" s="6"/>
      <c r="C48" s="6"/>
      <c r="D48" s="101"/>
      <c r="E48" s="101"/>
      <c r="F48" s="101"/>
      <c r="G48" s="101"/>
      <c r="H48" s="101"/>
      <c r="I48" s="101"/>
      <c r="J48" s="22"/>
      <c r="K48" s="102"/>
      <c r="L48" s="102"/>
    </row>
    <row r="49" spans="1:12" ht="15.75" x14ac:dyDescent="0.3">
      <c r="A49" s="6"/>
      <c r="B49" s="6"/>
      <c r="C49" s="6"/>
      <c r="D49" s="138" t="s">
        <v>26</v>
      </c>
      <c r="E49" s="138"/>
      <c r="F49" s="138"/>
      <c r="G49" s="103"/>
      <c r="H49" s="103"/>
      <c r="I49" s="103"/>
      <c r="J49" s="6"/>
      <c r="K49" s="5" t="s">
        <v>9</v>
      </c>
      <c r="L49" s="4"/>
    </row>
    <row r="50" spans="1:12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65">
    <mergeCell ref="B4:E4"/>
    <mergeCell ref="F1:L1"/>
    <mergeCell ref="B2:E2"/>
    <mergeCell ref="J2:L2"/>
    <mergeCell ref="B3:E3"/>
    <mergeCell ref="J3:L3"/>
    <mergeCell ref="B6:C6"/>
    <mergeCell ref="D6:F6"/>
    <mergeCell ref="J6:L6"/>
    <mergeCell ref="B7:C7"/>
    <mergeCell ref="D7:F7"/>
    <mergeCell ref="J7:L7"/>
    <mergeCell ref="B9:B10"/>
    <mergeCell ref="C9:C10"/>
    <mergeCell ref="D9:E9"/>
    <mergeCell ref="F9:G9"/>
    <mergeCell ref="H9:I10"/>
    <mergeCell ref="H20:I20"/>
    <mergeCell ref="K9:K10"/>
    <mergeCell ref="L9:L10"/>
    <mergeCell ref="H11:I11"/>
    <mergeCell ref="H12:I12"/>
    <mergeCell ref="H13:I13"/>
    <mergeCell ref="H14:I14"/>
    <mergeCell ref="J9:J10"/>
    <mergeCell ref="H15:I15"/>
    <mergeCell ref="H16:I16"/>
    <mergeCell ref="H17:I17"/>
    <mergeCell ref="H18:I18"/>
    <mergeCell ref="H19:I19"/>
    <mergeCell ref="H32:I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B43:C43"/>
    <mergeCell ref="D43:I43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B42:C42"/>
    <mergeCell ref="D42:I42"/>
    <mergeCell ref="D48:I48"/>
    <mergeCell ref="K48:L48"/>
    <mergeCell ref="D49:F49"/>
    <mergeCell ref="G49:I49"/>
    <mergeCell ref="B44:C44"/>
    <mergeCell ref="D44:I44"/>
    <mergeCell ref="D46:I46"/>
    <mergeCell ref="K46:L46"/>
    <mergeCell ref="D47:F47"/>
    <mergeCell ref="G47:I4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Control!$B$2:$B$8</xm:f>
          </x14:formula1>
          <xm:sqref>B11:B41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topLeftCell="A2" workbookViewId="0">
      <selection activeCell="J6" sqref="J6:L6"/>
    </sheetView>
  </sheetViews>
  <sheetFormatPr defaultColWidth="11.42578125" defaultRowHeight="15" x14ac:dyDescent="0.25"/>
  <sheetData>
    <row r="1" spans="1:12" ht="30" customHeight="1" x14ac:dyDescent="0.3">
      <c r="F1" s="163" t="s">
        <v>0</v>
      </c>
      <c r="G1" s="163"/>
      <c r="H1" s="163"/>
      <c r="I1" s="163"/>
      <c r="J1" s="163"/>
      <c r="K1" s="163"/>
      <c r="L1" s="163"/>
    </row>
    <row r="2" spans="1:12" x14ac:dyDescent="0.25">
      <c r="A2" s="25"/>
      <c r="B2" s="131" t="s">
        <v>6</v>
      </c>
      <c r="C2" s="131"/>
      <c r="D2" s="131"/>
      <c r="E2" s="131"/>
      <c r="F2" s="4"/>
      <c r="G2" s="4"/>
      <c r="H2" s="4"/>
      <c r="I2" s="4" t="s">
        <v>1</v>
      </c>
      <c r="J2" s="136">
        <v>42583</v>
      </c>
      <c r="K2" s="136"/>
      <c r="L2" s="136"/>
    </row>
    <row r="3" spans="1:12" x14ac:dyDescent="0.25">
      <c r="A3" s="25"/>
      <c r="B3" s="131" t="s">
        <v>8</v>
      </c>
      <c r="C3" s="131"/>
      <c r="D3" s="131"/>
      <c r="E3" s="131"/>
      <c r="F3" s="4"/>
      <c r="G3" s="4"/>
      <c r="H3" s="4"/>
      <c r="I3" s="4" t="s">
        <v>2</v>
      </c>
      <c r="J3" s="164" t="s">
        <v>34</v>
      </c>
      <c r="K3" s="164"/>
      <c r="L3" s="164"/>
    </row>
    <row r="4" spans="1:12" x14ac:dyDescent="0.25">
      <c r="A4" s="25"/>
      <c r="B4" s="131" t="s">
        <v>7</v>
      </c>
      <c r="C4" s="131"/>
      <c r="D4" s="131"/>
      <c r="E4" s="131"/>
      <c r="F4" s="23"/>
      <c r="G4" s="24"/>
      <c r="H4" s="4"/>
      <c r="I4" s="24"/>
      <c r="J4" s="24"/>
      <c r="K4" s="26"/>
      <c r="L4" s="26"/>
    </row>
    <row r="5" spans="1:12" x14ac:dyDescent="0.25">
      <c r="A5" s="25"/>
      <c r="B5" s="24"/>
      <c r="C5" s="24"/>
      <c r="D5" s="24"/>
      <c r="E5" s="24"/>
      <c r="F5" s="4"/>
      <c r="G5" s="24"/>
      <c r="H5" s="4"/>
      <c r="I5" s="24"/>
      <c r="J5" s="24"/>
      <c r="K5" s="24"/>
      <c r="L5" s="24"/>
    </row>
    <row r="6" spans="1:12" x14ac:dyDescent="0.25">
      <c r="A6" s="25"/>
      <c r="B6" s="131" t="s">
        <v>23</v>
      </c>
      <c r="C6" s="131"/>
      <c r="D6" s="132"/>
      <c r="E6" s="132"/>
      <c r="F6" s="132"/>
      <c r="G6" s="4"/>
      <c r="H6" s="23"/>
      <c r="I6" s="24" t="s">
        <v>22</v>
      </c>
      <c r="J6" s="132"/>
      <c r="K6" s="132"/>
      <c r="L6" s="132"/>
    </row>
    <row r="7" spans="1:12" x14ac:dyDescent="0.25">
      <c r="A7" s="25"/>
      <c r="B7" s="131" t="s">
        <v>24</v>
      </c>
      <c r="C7" s="131"/>
      <c r="D7" s="133"/>
      <c r="E7" s="133"/>
      <c r="F7" s="133"/>
      <c r="G7" s="4"/>
      <c r="H7" s="23"/>
      <c r="I7" s="24" t="s">
        <v>25</v>
      </c>
      <c r="J7" s="134"/>
      <c r="K7" s="134"/>
      <c r="L7" s="134"/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9"/>
      <c r="B9" s="153" t="s">
        <v>10</v>
      </c>
      <c r="C9" s="153" t="s">
        <v>9</v>
      </c>
      <c r="D9" s="157" t="s">
        <v>3</v>
      </c>
      <c r="E9" s="158"/>
      <c r="F9" s="157" t="s">
        <v>4</v>
      </c>
      <c r="G9" s="158"/>
      <c r="H9" s="159" t="s">
        <v>29</v>
      </c>
      <c r="I9" s="160"/>
      <c r="J9" s="151" t="s">
        <v>30</v>
      </c>
      <c r="K9" s="151" t="s">
        <v>4</v>
      </c>
      <c r="L9" s="153" t="s">
        <v>5</v>
      </c>
    </row>
    <row r="10" spans="1:12" x14ac:dyDescent="0.25">
      <c r="A10" s="9"/>
      <c r="B10" s="154"/>
      <c r="C10" s="154"/>
      <c r="D10" s="11" t="s">
        <v>27</v>
      </c>
      <c r="E10" s="11" t="s">
        <v>28</v>
      </c>
      <c r="F10" s="11" t="s">
        <v>27</v>
      </c>
      <c r="G10" s="11" t="s">
        <v>28</v>
      </c>
      <c r="H10" s="161"/>
      <c r="I10" s="162"/>
      <c r="J10" s="152"/>
      <c r="K10" s="152"/>
      <c r="L10" s="154"/>
    </row>
    <row r="11" spans="1:12" x14ac:dyDescent="0.25">
      <c r="A11" s="8"/>
      <c r="B11" s="10"/>
      <c r="C11" s="12">
        <f>J2</f>
        <v>42583</v>
      </c>
      <c r="D11" s="19"/>
      <c r="E11" s="19"/>
      <c r="F11" s="18"/>
      <c r="G11" s="18"/>
      <c r="H11" s="155" t="s">
        <v>32</v>
      </c>
      <c r="I11" s="156"/>
      <c r="J11" s="20"/>
      <c r="K11" s="20"/>
      <c r="L11" s="21">
        <f>J11+K11</f>
        <v>0</v>
      </c>
    </row>
    <row r="12" spans="1:12" x14ac:dyDescent="0.25">
      <c r="A12" s="8"/>
      <c r="B12" s="10"/>
      <c r="C12" s="12">
        <v>42584</v>
      </c>
      <c r="D12" s="17"/>
      <c r="E12" s="17"/>
      <c r="F12" s="18"/>
      <c r="G12" s="18"/>
      <c r="H12" s="146"/>
      <c r="I12" s="147"/>
      <c r="J12" s="15"/>
      <c r="K12" s="20"/>
      <c r="L12" s="21">
        <f t="shared" ref="L12:L41" si="0">J12+K12</f>
        <v>0</v>
      </c>
    </row>
    <row r="13" spans="1:12" x14ac:dyDescent="0.25">
      <c r="A13" s="8"/>
      <c r="B13" s="10"/>
      <c r="C13" s="12">
        <v>42585</v>
      </c>
      <c r="D13" s="17"/>
      <c r="E13" s="17"/>
      <c r="F13" s="18"/>
      <c r="G13" s="18"/>
      <c r="H13" s="146"/>
      <c r="I13" s="147"/>
      <c r="J13" s="15"/>
      <c r="K13" s="20"/>
      <c r="L13" s="21">
        <f t="shared" si="0"/>
        <v>0</v>
      </c>
    </row>
    <row r="14" spans="1:12" x14ac:dyDescent="0.25">
      <c r="A14" s="8"/>
      <c r="B14" s="10"/>
      <c r="C14" s="12">
        <v>42586</v>
      </c>
      <c r="D14" s="17"/>
      <c r="E14" s="17"/>
      <c r="F14" s="18"/>
      <c r="G14" s="18"/>
      <c r="H14" s="146"/>
      <c r="I14" s="147"/>
      <c r="J14" s="15"/>
      <c r="K14" s="20"/>
      <c r="L14" s="21">
        <f t="shared" si="0"/>
        <v>0</v>
      </c>
    </row>
    <row r="15" spans="1:12" x14ac:dyDescent="0.25">
      <c r="A15" s="8"/>
      <c r="B15" s="10"/>
      <c r="C15" s="12">
        <v>42587</v>
      </c>
      <c r="D15" s="17"/>
      <c r="E15" s="17"/>
      <c r="F15" s="18"/>
      <c r="G15" s="18"/>
      <c r="H15" s="146"/>
      <c r="I15" s="147"/>
      <c r="J15" s="15"/>
      <c r="K15" s="20"/>
      <c r="L15" s="21">
        <f t="shared" si="0"/>
        <v>0</v>
      </c>
    </row>
    <row r="16" spans="1:12" x14ac:dyDescent="0.25">
      <c r="A16" s="8"/>
      <c r="B16" s="10" t="s">
        <v>12</v>
      </c>
      <c r="C16" s="12">
        <v>42588</v>
      </c>
      <c r="D16" s="17"/>
      <c r="E16" s="17"/>
      <c r="F16" s="18"/>
      <c r="G16" s="18"/>
      <c r="H16" s="146"/>
      <c r="I16" s="147"/>
      <c r="J16" s="15"/>
      <c r="K16" s="20"/>
      <c r="L16" s="21">
        <f t="shared" si="0"/>
        <v>0</v>
      </c>
    </row>
    <row r="17" spans="1:12" x14ac:dyDescent="0.25">
      <c r="A17" s="8"/>
      <c r="B17" s="10" t="s">
        <v>12</v>
      </c>
      <c r="C17" s="12">
        <v>42589</v>
      </c>
      <c r="D17" s="17"/>
      <c r="E17" s="17"/>
      <c r="F17" s="18"/>
      <c r="G17" s="18"/>
      <c r="H17" s="146"/>
      <c r="I17" s="147"/>
      <c r="J17" s="15"/>
      <c r="K17" s="20"/>
      <c r="L17" s="21">
        <f t="shared" si="0"/>
        <v>0</v>
      </c>
    </row>
    <row r="18" spans="1:12" x14ac:dyDescent="0.25">
      <c r="A18" s="8"/>
      <c r="B18" s="10"/>
      <c r="C18" s="12">
        <v>42590</v>
      </c>
      <c r="D18" s="17"/>
      <c r="E18" s="17"/>
      <c r="F18" s="18"/>
      <c r="G18" s="18"/>
      <c r="H18" s="146"/>
      <c r="I18" s="147"/>
      <c r="J18" s="15"/>
      <c r="K18" s="20"/>
      <c r="L18" s="21">
        <f t="shared" si="0"/>
        <v>0</v>
      </c>
    </row>
    <row r="19" spans="1:12" x14ac:dyDescent="0.25">
      <c r="A19" s="8"/>
      <c r="B19" s="10"/>
      <c r="C19" s="12">
        <v>42591</v>
      </c>
      <c r="D19" s="17"/>
      <c r="E19" s="17"/>
      <c r="F19" s="18"/>
      <c r="G19" s="18"/>
      <c r="H19" s="146"/>
      <c r="I19" s="147"/>
      <c r="J19" s="15"/>
      <c r="K19" s="20"/>
      <c r="L19" s="21">
        <f t="shared" si="0"/>
        <v>0</v>
      </c>
    </row>
    <row r="20" spans="1:12" x14ac:dyDescent="0.25">
      <c r="A20" s="8"/>
      <c r="B20" s="10"/>
      <c r="C20" s="12">
        <v>42592</v>
      </c>
      <c r="D20" s="17"/>
      <c r="E20" s="17"/>
      <c r="F20" s="18"/>
      <c r="G20" s="18"/>
      <c r="H20" s="146"/>
      <c r="I20" s="147"/>
      <c r="J20" s="15"/>
      <c r="K20" s="20"/>
      <c r="L20" s="21">
        <f t="shared" si="0"/>
        <v>0</v>
      </c>
    </row>
    <row r="21" spans="1:12" x14ac:dyDescent="0.25">
      <c r="A21" s="8"/>
      <c r="B21" s="10"/>
      <c r="C21" s="12">
        <v>42593</v>
      </c>
      <c r="D21" s="17"/>
      <c r="E21" s="17"/>
      <c r="F21" s="18"/>
      <c r="G21" s="18"/>
      <c r="H21" s="146"/>
      <c r="I21" s="147"/>
      <c r="J21" s="15"/>
      <c r="K21" s="20"/>
      <c r="L21" s="21">
        <f t="shared" si="0"/>
        <v>0</v>
      </c>
    </row>
    <row r="22" spans="1:12" x14ac:dyDescent="0.25">
      <c r="A22" s="8"/>
      <c r="B22" s="10"/>
      <c r="C22" s="12">
        <v>42594</v>
      </c>
      <c r="D22" s="17"/>
      <c r="E22" s="17"/>
      <c r="F22" s="18"/>
      <c r="G22" s="18"/>
      <c r="H22" s="146"/>
      <c r="I22" s="147"/>
      <c r="J22" s="15"/>
      <c r="K22" s="20"/>
      <c r="L22" s="21">
        <f t="shared" si="0"/>
        <v>0</v>
      </c>
    </row>
    <row r="23" spans="1:12" x14ac:dyDescent="0.25">
      <c r="A23" s="8"/>
      <c r="B23" s="10" t="s">
        <v>12</v>
      </c>
      <c r="C23" s="12">
        <v>42595</v>
      </c>
      <c r="D23" s="17"/>
      <c r="E23" s="17"/>
      <c r="F23" s="18"/>
      <c r="G23" s="18"/>
      <c r="H23" s="146"/>
      <c r="I23" s="147"/>
      <c r="J23" s="15"/>
      <c r="K23" s="20"/>
      <c r="L23" s="21">
        <f t="shared" si="0"/>
        <v>0</v>
      </c>
    </row>
    <row r="24" spans="1:12" x14ac:dyDescent="0.25">
      <c r="A24" s="8"/>
      <c r="B24" s="10" t="s">
        <v>12</v>
      </c>
      <c r="C24" s="12">
        <v>42596</v>
      </c>
      <c r="D24" s="17"/>
      <c r="E24" s="17"/>
      <c r="F24" s="18"/>
      <c r="G24" s="18"/>
      <c r="H24" s="146"/>
      <c r="I24" s="147"/>
      <c r="J24" s="15"/>
      <c r="K24" s="15"/>
      <c r="L24" s="21">
        <f t="shared" si="0"/>
        <v>0</v>
      </c>
    </row>
    <row r="25" spans="1:12" x14ac:dyDescent="0.25">
      <c r="A25" s="8"/>
      <c r="B25" s="10"/>
      <c r="C25" s="12">
        <v>42597</v>
      </c>
      <c r="D25" s="17"/>
      <c r="E25" s="17"/>
      <c r="F25" s="18"/>
      <c r="G25" s="18"/>
      <c r="H25" s="146"/>
      <c r="I25" s="147"/>
      <c r="J25" s="15"/>
      <c r="K25" s="15"/>
      <c r="L25" s="21">
        <f>J25+K25</f>
        <v>0</v>
      </c>
    </row>
    <row r="26" spans="1:12" x14ac:dyDescent="0.25">
      <c r="A26" s="8"/>
      <c r="B26" s="10"/>
      <c r="C26" s="12">
        <v>42598</v>
      </c>
      <c r="D26" s="17"/>
      <c r="E26" s="17"/>
      <c r="F26" s="18"/>
      <c r="G26" s="18"/>
      <c r="H26" s="146"/>
      <c r="I26" s="147"/>
      <c r="J26" s="15"/>
      <c r="K26" s="15"/>
      <c r="L26" s="21">
        <f t="shared" si="0"/>
        <v>0</v>
      </c>
    </row>
    <row r="27" spans="1:12" x14ac:dyDescent="0.25">
      <c r="A27" s="8"/>
      <c r="B27" s="10"/>
      <c r="C27" s="12">
        <v>42599</v>
      </c>
      <c r="D27" s="17"/>
      <c r="E27" s="17"/>
      <c r="F27" s="18"/>
      <c r="G27" s="18"/>
      <c r="H27" s="146"/>
      <c r="I27" s="147"/>
      <c r="J27" s="15"/>
      <c r="K27" s="15"/>
      <c r="L27" s="21">
        <f t="shared" si="0"/>
        <v>0</v>
      </c>
    </row>
    <row r="28" spans="1:12" x14ac:dyDescent="0.25">
      <c r="A28" s="8"/>
      <c r="B28" s="10"/>
      <c r="C28" s="12">
        <v>42600</v>
      </c>
      <c r="D28" s="17"/>
      <c r="E28" s="17"/>
      <c r="F28" s="18"/>
      <c r="G28" s="18"/>
      <c r="H28" s="146"/>
      <c r="I28" s="147"/>
      <c r="J28" s="15"/>
      <c r="K28" s="15"/>
      <c r="L28" s="21">
        <f t="shared" si="0"/>
        <v>0</v>
      </c>
    </row>
    <row r="29" spans="1:12" x14ac:dyDescent="0.25">
      <c r="A29" s="8"/>
      <c r="B29" s="10"/>
      <c r="C29" s="12">
        <v>42601</v>
      </c>
      <c r="D29" s="17"/>
      <c r="E29" s="17"/>
      <c r="F29" s="18"/>
      <c r="G29" s="18"/>
      <c r="H29" s="146"/>
      <c r="I29" s="147"/>
      <c r="J29" s="15"/>
      <c r="K29" s="15"/>
      <c r="L29" s="21">
        <f t="shared" si="0"/>
        <v>0</v>
      </c>
    </row>
    <row r="30" spans="1:12" x14ac:dyDescent="0.25">
      <c r="A30" s="8"/>
      <c r="B30" s="10" t="s">
        <v>12</v>
      </c>
      <c r="C30" s="12">
        <v>42602</v>
      </c>
      <c r="D30" s="17"/>
      <c r="E30" s="17"/>
      <c r="F30" s="18"/>
      <c r="G30" s="18"/>
      <c r="H30" s="146"/>
      <c r="I30" s="147"/>
      <c r="J30" s="15"/>
      <c r="K30" s="15"/>
      <c r="L30" s="21">
        <f t="shared" si="0"/>
        <v>0</v>
      </c>
    </row>
    <row r="31" spans="1:12" x14ac:dyDescent="0.25">
      <c r="A31" s="8"/>
      <c r="B31" s="10" t="s">
        <v>12</v>
      </c>
      <c r="C31" s="12">
        <v>42603</v>
      </c>
      <c r="D31" s="17"/>
      <c r="E31" s="17"/>
      <c r="F31" s="18"/>
      <c r="G31" s="18"/>
      <c r="H31" s="146"/>
      <c r="I31" s="147"/>
      <c r="J31" s="15"/>
      <c r="K31" s="15"/>
      <c r="L31" s="21">
        <f t="shared" si="0"/>
        <v>0</v>
      </c>
    </row>
    <row r="32" spans="1:12" x14ac:dyDescent="0.25">
      <c r="A32" s="8"/>
      <c r="B32" s="10"/>
      <c r="C32" s="12">
        <v>42604</v>
      </c>
      <c r="D32" s="17"/>
      <c r="E32" s="17"/>
      <c r="F32" s="18"/>
      <c r="G32" s="18"/>
      <c r="H32" s="146"/>
      <c r="I32" s="147"/>
      <c r="J32" s="15"/>
      <c r="K32" s="15"/>
      <c r="L32" s="21">
        <f t="shared" si="0"/>
        <v>0</v>
      </c>
    </row>
    <row r="33" spans="1:12" x14ac:dyDescent="0.25">
      <c r="A33" s="8"/>
      <c r="B33" s="10"/>
      <c r="C33" s="12">
        <v>42605</v>
      </c>
      <c r="D33" s="17"/>
      <c r="E33" s="17"/>
      <c r="F33" s="18"/>
      <c r="G33" s="18"/>
      <c r="H33" s="146"/>
      <c r="I33" s="147"/>
      <c r="J33" s="15"/>
      <c r="K33" s="15"/>
      <c r="L33" s="21">
        <f t="shared" si="0"/>
        <v>0</v>
      </c>
    </row>
    <row r="34" spans="1:12" x14ac:dyDescent="0.25">
      <c r="A34" s="8"/>
      <c r="B34" s="10"/>
      <c r="C34" s="12">
        <v>42606</v>
      </c>
      <c r="D34" s="17"/>
      <c r="E34" s="17"/>
      <c r="F34" s="18"/>
      <c r="G34" s="18"/>
      <c r="H34" s="146"/>
      <c r="I34" s="147"/>
      <c r="J34" s="15"/>
      <c r="K34" s="15"/>
      <c r="L34" s="21">
        <f t="shared" si="0"/>
        <v>0</v>
      </c>
    </row>
    <row r="35" spans="1:12" x14ac:dyDescent="0.25">
      <c r="A35" s="8"/>
      <c r="B35" s="10"/>
      <c r="C35" s="12">
        <v>42607</v>
      </c>
      <c r="D35" s="17"/>
      <c r="E35" s="17"/>
      <c r="F35" s="18"/>
      <c r="G35" s="18"/>
      <c r="H35" s="146"/>
      <c r="I35" s="147"/>
      <c r="J35" s="15"/>
      <c r="K35" s="15"/>
      <c r="L35" s="21">
        <f>J35+K35</f>
        <v>0</v>
      </c>
    </row>
    <row r="36" spans="1:12" x14ac:dyDescent="0.25">
      <c r="A36" s="8"/>
      <c r="B36" s="10"/>
      <c r="C36" s="12">
        <v>42608</v>
      </c>
      <c r="D36" s="17"/>
      <c r="E36" s="17"/>
      <c r="F36" s="18"/>
      <c r="G36" s="18"/>
      <c r="H36" s="146"/>
      <c r="I36" s="147"/>
      <c r="J36" s="15"/>
      <c r="K36" s="15"/>
      <c r="L36" s="21">
        <f t="shared" si="0"/>
        <v>0</v>
      </c>
    </row>
    <row r="37" spans="1:12" x14ac:dyDescent="0.25">
      <c r="A37" s="8"/>
      <c r="B37" s="10" t="s">
        <v>12</v>
      </c>
      <c r="C37" s="12">
        <v>42609</v>
      </c>
      <c r="D37" s="17"/>
      <c r="E37" s="17"/>
      <c r="F37" s="18"/>
      <c r="G37" s="18"/>
      <c r="H37" s="146"/>
      <c r="I37" s="147"/>
      <c r="J37" s="15"/>
      <c r="K37" s="15"/>
      <c r="L37" s="21">
        <f t="shared" si="0"/>
        <v>0</v>
      </c>
    </row>
    <row r="38" spans="1:12" x14ac:dyDescent="0.25">
      <c r="A38" s="8"/>
      <c r="B38" s="10" t="s">
        <v>12</v>
      </c>
      <c r="C38" s="12">
        <v>42610</v>
      </c>
      <c r="D38" s="17"/>
      <c r="E38" s="17"/>
      <c r="F38" s="18"/>
      <c r="G38" s="18"/>
      <c r="H38" s="146"/>
      <c r="I38" s="147"/>
      <c r="J38" s="15"/>
      <c r="K38" s="15"/>
      <c r="L38" s="21">
        <f t="shared" si="0"/>
        <v>0</v>
      </c>
    </row>
    <row r="39" spans="1:12" x14ac:dyDescent="0.25">
      <c r="A39" s="8"/>
      <c r="B39" s="10"/>
      <c r="C39" s="12">
        <v>42611</v>
      </c>
      <c r="D39" s="17"/>
      <c r="E39" s="17"/>
      <c r="F39" s="18"/>
      <c r="G39" s="18"/>
      <c r="H39" s="146"/>
      <c r="I39" s="147"/>
      <c r="J39" s="15"/>
      <c r="K39" s="15"/>
      <c r="L39" s="21">
        <f t="shared" si="0"/>
        <v>0</v>
      </c>
    </row>
    <row r="40" spans="1:12" x14ac:dyDescent="0.25">
      <c r="A40" s="8"/>
      <c r="B40" s="10"/>
      <c r="C40" s="12">
        <v>42612</v>
      </c>
      <c r="D40" s="17"/>
      <c r="E40" s="17"/>
      <c r="F40" s="18"/>
      <c r="G40" s="18"/>
      <c r="H40" s="146"/>
      <c r="I40" s="147"/>
      <c r="J40" s="15"/>
      <c r="K40" s="15"/>
      <c r="L40" s="21">
        <f t="shared" si="0"/>
        <v>0</v>
      </c>
    </row>
    <row r="41" spans="1:12" x14ac:dyDescent="0.25">
      <c r="A41" s="8"/>
      <c r="B41" s="10"/>
      <c r="C41" s="12">
        <v>42613</v>
      </c>
      <c r="D41" s="17"/>
      <c r="E41" s="17"/>
      <c r="F41" s="18"/>
      <c r="G41" s="18"/>
      <c r="H41" s="146"/>
      <c r="I41" s="147"/>
      <c r="J41" s="15"/>
      <c r="K41" s="15"/>
      <c r="L41" s="21">
        <f t="shared" si="0"/>
        <v>0</v>
      </c>
    </row>
    <row r="42" spans="1:12" ht="15.75" x14ac:dyDescent="0.3">
      <c r="A42" s="6"/>
      <c r="B42" s="139" t="s">
        <v>18</v>
      </c>
      <c r="C42" s="139"/>
      <c r="D42" s="148"/>
      <c r="E42" s="149"/>
      <c r="F42" s="149"/>
      <c r="G42" s="149"/>
      <c r="H42" s="149"/>
      <c r="I42" s="150"/>
      <c r="J42" s="13">
        <f>SUM(J11:J41)</f>
        <v>0</v>
      </c>
      <c r="K42" s="13">
        <f t="shared" ref="K42:L42" si="1">SUM(K11:K41)</f>
        <v>0</v>
      </c>
      <c r="L42" s="13">
        <f t="shared" si="1"/>
        <v>0</v>
      </c>
    </row>
    <row r="43" spans="1:12" ht="15.75" x14ac:dyDescent="0.3">
      <c r="A43" s="6"/>
      <c r="B43" s="139" t="s">
        <v>19</v>
      </c>
      <c r="C43" s="139"/>
      <c r="D43" s="143"/>
      <c r="E43" s="144"/>
      <c r="F43" s="144"/>
      <c r="G43" s="144"/>
      <c r="H43" s="144"/>
      <c r="I43" s="145"/>
      <c r="J43" s="14"/>
      <c r="K43" s="14"/>
      <c r="L43" s="7"/>
    </row>
    <row r="44" spans="1:12" ht="15.75" x14ac:dyDescent="0.3">
      <c r="A44" s="6"/>
      <c r="B44" s="139" t="s">
        <v>20</v>
      </c>
      <c r="C44" s="139"/>
      <c r="D44" s="140"/>
      <c r="E44" s="141"/>
      <c r="F44" s="141"/>
      <c r="G44" s="141"/>
      <c r="H44" s="141"/>
      <c r="I44" s="142"/>
      <c r="J44" s="16">
        <f>J42*J43</f>
        <v>0</v>
      </c>
      <c r="K44" s="16">
        <f>K42*K43</f>
        <v>0</v>
      </c>
      <c r="L44" s="16">
        <f>SUM(E44:J44)</f>
        <v>0</v>
      </c>
    </row>
    <row r="45" spans="1:12" ht="15.75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.75" x14ac:dyDescent="0.3">
      <c r="A46" s="6"/>
      <c r="B46" s="3"/>
      <c r="C46" s="3"/>
      <c r="D46" s="101"/>
      <c r="E46" s="101"/>
      <c r="F46" s="101"/>
      <c r="G46" s="101"/>
      <c r="H46" s="101"/>
      <c r="I46" s="101"/>
      <c r="J46" s="22"/>
      <c r="K46" s="102"/>
      <c r="L46" s="102"/>
    </row>
    <row r="47" spans="1:12" ht="15.75" x14ac:dyDescent="0.3">
      <c r="A47" s="6"/>
      <c r="B47" s="6"/>
      <c r="C47" s="6"/>
      <c r="D47" s="138" t="s">
        <v>21</v>
      </c>
      <c r="E47" s="138"/>
      <c r="F47" s="138"/>
      <c r="G47" s="103"/>
      <c r="H47" s="103"/>
      <c r="I47" s="103"/>
      <c r="J47" s="6"/>
      <c r="K47" s="5" t="s">
        <v>9</v>
      </c>
      <c r="L47" s="4"/>
    </row>
    <row r="48" spans="1:12" ht="15.75" x14ac:dyDescent="0.3">
      <c r="A48" s="6"/>
      <c r="B48" s="6"/>
      <c r="C48" s="6"/>
      <c r="D48" s="101"/>
      <c r="E48" s="101"/>
      <c r="F48" s="101"/>
      <c r="G48" s="101"/>
      <c r="H48" s="101"/>
      <c r="I48" s="101"/>
      <c r="J48" s="22"/>
      <c r="K48" s="102"/>
      <c r="L48" s="102"/>
    </row>
    <row r="49" spans="1:12" ht="15.75" x14ac:dyDescent="0.3">
      <c r="A49" s="6"/>
      <c r="B49" s="6"/>
      <c r="C49" s="6"/>
      <c r="D49" s="138" t="s">
        <v>26</v>
      </c>
      <c r="E49" s="138"/>
      <c r="F49" s="138"/>
      <c r="G49" s="103"/>
      <c r="H49" s="103"/>
      <c r="I49" s="103"/>
      <c r="J49" s="6"/>
      <c r="K49" s="5" t="s">
        <v>9</v>
      </c>
      <c r="L49" s="4"/>
    </row>
    <row r="50" spans="1:12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65">
    <mergeCell ref="B4:E4"/>
    <mergeCell ref="F1:L1"/>
    <mergeCell ref="B2:E2"/>
    <mergeCell ref="J2:L2"/>
    <mergeCell ref="B3:E3"/>
    <mergeCell ref="J3:L3"/>
    <mergeCell ref="B6:C6"/>
    <mergeCell ref="D6:F6"/>
    <mergeCell ref="J6:L6"/>
    <mergeCell ref="B7:C7"/>
    <mergeCell ref="D7:F7"/>
    <mergeCell ref="J7:L7"/>
    <mergeCell ref="B9:B10"/>
    <mergeCell ref="C9:C10"/>
    <mergeCell ref="D9:E9"/>
    <mergeCell ref="F9:G9"/>
    <mergeCell ref="H9:I10"/>
    <mergeCell ref="H20:I20"/>
    <mergeCell ref="K9:K10"/>
    <mergeCell ref="L9:L10"/>
    <mergeCell ref="H11:I11"/>
    <mergeCell ref="H12:I12"/>
    <mergeCell ref="H13:I13"/>
    <mergeCell ref="H14:I14"/>
    <mergeCell ref="J9:J10"/>
    <mergeCell ref="H15:I15"/>
    <mergeCell ref="H16:I16"/>
    <mergeCell ref="H17:I17"/>
    <mergeCell ref="H18:I18"/>
    <mergeCell ref="H19:I19"/>
    <mergeCell ref="H32:I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B43:C43"/>
    <mergeCell ref="D43:I43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B42:C42"/>
    <mergeCell ref="D42:I42"/>
    <mergeCell ref="D48:I48"/>
    <mergeCell ref="K48:L48"/>
    <mergeCell ref="D49:F49"/>
    <mergeCell ref="G49:I49"/>
    <mergeCell ref="B44:C44"/>
    <mergeCell ref="D44:I44"/>
    <mergeCell ref="D46:I46"/>
    <mergeCell ref="K46:L46"/>
    <mergeCell ref="D47:F47"/>
    <mergeCell ref="G47:I47"/>
  </mergeCells>
  <phoneticPr fontId="20" type="noConversion"/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Control!$B$2:$B$8</xm:f>
          </x14:formula1>
          <xm:sqref>B11:B41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workbookViewId="0">
      <selection activeCell="J6" sqref="J6:L6"/>
    </sheetView>
  </sheetViews>
  <sheetFormatPr defaultColWidth="11.42578125" defaultRowHeight="15" x14ac:dyDescent="0.25"/>
  <cols>
    <col min="3" max="3" width="9.42578125" customWidth="1"/>
  </cols>
  <sheetData>
    <row r="1" spans="1:12" ht="22.5" x14ac:dyDescent="0.3">
      <c r="F1" s="163" t="s">
        <v>0</v>
      </c>
      <c r="G1" s="163"/>
      <c r="H1" s="163"/>
      <c r="I1" s="163"/>
      <c r="J1" s="163"/>
      <c r="K1" s="163"/>
      <c r="L1" s="163"/>
    </row>
    <row r="2" spans="1:12" x14ac:dyDescent="0.25">
      <c r="A2" s="25"/>
      <c r="B2" s="131" t="s">
        <v>6</v>
      </c>
      <c r="C2" s="131"/>
      <c r="D2" s="131"/>
      <c r="E2" s="131"/>
      <c r="F2" s="4"/>
      <c r="G2" s="4"/>
      <c r="H2" s="4"/>
      <c r="I2" s="4" t="s">
        <v>1</v>
      </c>
      <c r="J2" s="136">
        <v>42614</v>
      </c>
      <c r="K2" s="136"/>
      <c r="L2" s="136"/>
    </row>
    <row r="3" spans="1:12" x14ac:dyDescent="0.25">
      <c r="A3" s="25"/>
      <c r="B3" s="131" t="s">
        <v>8</v>
      </c>
      <c r="C3" s="131"/>
      <c r="D3" s="131"/>
      <c r="E3" s="131"/>
      <c r="F3" s="4"/>
      <c r="G3" s="4"/>
      <c r="H3" s="4"/>
      <c r="I3" s="4" t="s">
        <v>2</v>
      </c>
      <c r="J3" s="164" t="s">
        <v>35</v>
      </c>
      <c r="K3" s="164"/>
      <c r="L3" s="164"/>
    </row>
    <row r="4" spans="1:12" x14ac:dyDescent="0.25">
      <c r="A4" s="25"/>
      <c r="B4" s="131" t="s">
        <v>7</v>
      </c>
      <c r="C4" s="131"/>
      <c r="D4" s="131"/>
      <c r="E4" s="131"/>
      <c r="F4" s="23"/>
      <c r="G4" s="24"/>
      <c r="H4" s="4"/>
      <c r="I4" s="24"/>
      <c r="J4" s="24"/>
      <c r="K4" s="26"/>
      <c r="L4" s="26"/>
    </row>
    <row r="5" spans="1:12" x14ac:dyDescent="0.25">
      <c r="A5" s="25"/>
      <c r="B5" s="24"/>
      <c r="C5" s="24"/>
      <c r="D5" s="24"/>
      <c r="E5" s="24"/>
      <c r="F5" s="4"/>
      <c r="G5" s="24"/>
      <c r="H5" s="4"/>
      <c r="I5" s="24"/>
      <c r="J5" s="24"/>
      <c r="K5" s="24"/>
      <c r="L5" s="24"/>
    </row>
    <row r="6" spans="1:12" x14ac:dyDescent="0.25">
      <c r="A6" s="25"/>
      <c r="B6" s="131" t="s">
        <v>23</v>
      </c>
      <c r="C6" s="131"/>
      <c r="D6" s="132"/>
      <c r="E6" s="132"/>
      <c r="F6" s="132"/>
      <c r="G6" s="4"/>
      <c r="H6" s="23"/>
      <c r="I6" s="24" t="s">
        <v>22</v>
      </c>
      <c r="J6" s="132"/>
      <c r="K6" s="132"/>
      <c r="L6" s="132"/>
    </row>
    <row r="7" spans="1:12" x14ac:dyDescent="0.25">
      <c r="A7" s="25"/>
      <c r="B7" s="131" t="s">
        <v>24</v>
      </c>
      <c r="C7" s="131"/>
      <c r="D7" s="133"/>
      <c r="E7" s="133"/>
      <c r="F7" s="133"/>
      <c r="G7" s="4"/>
      <c r="H7" s="23"/>
      <c r="I7" s="24" t="s">
        <v>25</v>
      </c>
      <c r="J7" s="134"/>
      <c r="K7" s="134"/>
      <c r="L7" s="134"/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9"/>
      <c r="B9" s="153" t="s">
        <v>10</v>
      </c>
      <c r="C9" s="153" t="s">
        <v>9</v>
      </c>
      <c r="D9" s="157" t="s">
        <v>3</v>
      </c>
      <c r="E9" s="158"/>
      <c r="F9" s="157" t="s">
        <v>4</v>
      </c>
      <c r="G9" s="158"/>
      <c r="H9" s="159" t="s">
        <v>29</v>
      </c>
      <c r="I9" s="160"/>
      <c r="J9" s="151" t="s">
        <v>30</v>
      </c>
      <c r="K9" s="151" t="s">
        <v>4</v>
      </c>
      <c r="L9" s="153" t="s">
        <v>5</v>
      </c>
    </row>
    <row r="10" spans="1:12" x14ac:dyDescent="0.25">
      <c r="A10" s="9"/>
      <c r="B10" s="154"/>
      <c r="C10" s="154"/>
      <c r="D10" s="11" t="s">
        <v>27</v>
      </c>
      <c r="E10" s="11" t="s">
        <v>28</v>
      </c>
      <c r="F10" s="11" t="s">
        <v>27</v>
      </c>
      <c r="G10" s="11" t="s">
        <v>28</v>
      </c>
      <c r="H10" s="161"/>
      <c r="I10" s="162"/>
      <c r="J10" s="152"/>
      <c r="K10" s="152"/>
      <c r="L10" s="154"/>
    </row>
    <row r="11" spans="1:12" x14ac:dyDescent="0.25">
      <c r="A11" s="8"/>
      <c r="B11" s="10"/>
      <c r="C11" s="12">
        <f>J2</f>
        <v>42614</v>
      </c>
      <c r="D11" s="19"/>
      <c r="E11" s="19"/>
      <c r="F11" s="18"/>
      <c r="G11" s="18"/>
      <c r="H11" s="155" t="s">
        <v>32</v>
      </c>
      <c r="I11" s="156"/>
      <c r="J11" s="20"/>
      <c r="K11" s="20"/>
      <c r="L11" s="21">
        <f>J11+K11</f>
        <v>0</v>
      </c>
    </row>
    <row r="12" spans="1:12" x14ac:dyDescent="0.25">
      <c r="A12" s="8"/>
      <c r="B12" s="10"/>
      <c r="C12" s="12">
        <v>42615</v>
      </c>
      <c r="D12" s="17"/>
      <c r="E12" s="17"/>
      <c r="F12" s="18"/>
      <c r="G12" s="18"/>
      <c r="H12" s="146"/>
      <c r="I12" s="147"/>
      <c r="J12" s="15"/>
      <c r="K12" s="20"/>
      <c r="L12" s="21">
        <f t="shared" ref="L12:L41" si="0">J12+K12</f>
        <v>0</v>
      </c>
    </row>
    <row r="13" spans="1:12" x14ac:dyDescent="0.25">
      <c r="A13" s="8"/>
      <c r="B13" s="10" t="s">
        <v>12</v>
      </c>
      <c r="C13" s="12">
        <v>42616</v>
      </c>
      <c r="D13" s="17"/>
      <c r="E13" s="17"/>
      <c r="F13" s="18"/>
      <c r="G13" s="18"/>
      <c r="H13" s="146"/>
      <c r="I13" s="147"/>
      <c r="J13" s="15"/>
      <c r="K13" s="20"/>
      <c r="L13" s="21">
        <f t="shared" si="0"/>
        <v>0</v>
      </c>
    </row>
    <row r="14" spans="1:12" x14ac:dyDescent="0.25">
      <c r="A14" s="8"/>
      <c r="B14" s="10" t="s">
        <v>12</v>
      </c>
      <c r="C14" s="12">
        <v>42617</v>
      </c>
      <c r="D14" s="17"/>
      <c r="E14" s="17"/>
      <c r="F14" s="18"/>
      <c r="G14" s="18"/>
      <c r="H14" s="146"/>
      <c r="I14" s="147"/>
      <c r="J14" s="15"/>
      <c r="K14" s="20"/>
      <c r="L14" s="21">
        <f t="shared" si="0"/>
        <v>0</v>
      </c>
    </row>
    <row r="15" spans="1:12" x14ac:dyDescent="0.25">
      <c r="A15" s="8"/>
      <c r="B15" s="10"/>
      <c r="C15" s="12">
        <v>42618</v>
      </c>
      <c r="D15" s="17"/>
      <c r="E15" s="17"/>
      <c r="F15" s="18"/>
      <c r="G15" s="18"/>
      <c r="H15" s="146"/>
      <c r="I15" s="147"/>
      <c r="J15" s="15"/>
      <c r="K15" s="20"/>
      <c r="L15" s="21">
        <f t="shared" si="0"/>
        <v>0</v>
      </c>
    </row>
    <row r="16" spans="1:12" x14ac:dyDescent="0.25">
      <c r="A16" s="8"/>
      <c r="B16" s="10"/>
      <c r="C16" s="12">
        <v>42619</v>
      </c>
      <c r="D16" s="17"/>
      <c r="E16" s="17"/>
      <c r="F16" s="18"/>
      <c r="G16" s="18"/>
      <c r="H16" s="146"/>
      <c r="I16" s="147"/>
      <c r="J16" s="15"/>
      <c r="K16" s="20"/>
      <c r="L16" s="21">
        <f t="shared" si="0"/>
        <v>0</v>
      </c>
    </row>
    <row r="17" spans="1:12" x14ac:dyDescent="0.25">
      <c r="A17" s="8"/>
      <c r="B17" s="10"/>
      <c r="C17" s="12">
        <v>42620</v>
      </c>
      <c r="D17" s="17"/>
      <c r="E17" s="17"/>
      <c r="F17" s="18"/>
      <c r="G17" s="18"/>
      <c r="H17" s="146"/>
      <c r="I17" s="147"/>
      <c r="J17" s="15"/>
      <c r="K17" s="20"/>
      <c r="L17" s="21">
        <f t="shared" si="0"/>
        <v>0</v>
      </c>
    </row>
    <row r="18" spans="1:12" x14ac:dyDescent="0.25">
      <c r="A18" s="8"/>
      <c r="B18" s="10"/>
      <c r="C18" s="12">
        <v>42621</v>
      </c>
      <c r="D18" s="17"/>
      <c r="E18" s="17"/>
      <c r="F18" s="18"/>
      <c r="G18" s="18"/>
      <c r="H18" s="146"/>
      <c r="I18" s="147"/>
      <c r="J18" s="15"/>
      <c r="K18" s="20"/>
      <c r="L18" s="21">
        <f t="shared" si="0"/>
        <v>0</v>
      </c>
    </row>
    <row r="19" spans="1:12" x14ac:dyDescent="0.25">
      <c r="A19" s="8"/>
      <c r="B19" s="10"/>
      <c r="C19" s="12">
        <v>42622</v>
      </c>
      <c r="D19" s="17"/>
      <c r="E19" s="17"/>
      <c r="F19" s="18"/>
      <c r="G19" s="18"/>
      <c r="H19" s="146"/>
      <c r="I19" s="147"/>
      <c r="J19" s="15"/>
      <c r="K19" s="20"/>
      <c r="L19" s="21">
        <f t="shared" si="0"/>
        <v>0</v>
      </c>
    </row>
    <row r="20" spans="1:12" x14ac:dyDescent="0.25">
      <c r="A20" s="8"/>
      <c r="B20" s="10" t="s">
        <v>12</v>
      </c>
      <c r="C20" s="12">
        <v>42623</v>
      </c>
      <c r="D20" s="17"/>
      <c r="E20" s="17"/>
      <c r="F20" s="18"/>
      <c r="G20" s="18"/>
      <c r="H20" s="146"/>
      <c r="I20" s="147"/>
      <c r="J20" s="15"/>
      <c r="K20" s="20"/>
      <c r="L20" s="21">
        <f t="shared" si="0"/>
        <v>0</v>
      </c>
    </row>
    <row r="21" spans="1:12" x14ac:dyDescent="0.25">
      <c r="A21" s="8"/>
      <c r="B21" s="10" t="s">
        <v>12</v>
      </c>
      <c r="C21" s="12">
        <v>42624</v>
      </c>
      <c r="D21" s="17"/>
      <c r="E21" s="17"/>
      <c r="F21" s="18"/>
      <c r="G21" s="18"/>
      <c r="H21" s="146"/>
      <c r="I21" s="147"/>
      <c r="J21" s="15"/>
      <c r="K21" s="20"/>
      <c r="L21" s="21">
        <f t="shared" si="0"/>
        <v>0</v>
      </c>
    </row>
    <row r="22" spans="1:12" x14ac:dyDescent="0.25">
      <c r="A22" s="8"/>
      <c r="B22" s="10"/>
      <c r="C22" s="12">
        <v>42625</v>
      </c>
      <c r="D22" s="17"/>
      <c r="E22" s="17"/>
      <c r="F22" s="18"/>
      <c r="G22" s="18"/>
      <c r="H22" s="146"/>
      <c r="I22" s="147"/>
      <c r="J22" s="15"/>
      <c r="K22" s="20"/>
      <c r="L22" s="21">
        <f t="shared" si="0"/>
        <v>0</v>
      </c>
    </row>
    <row r="23" spans="1:12" x14ac:dyDescent="0.25">
      <c r="A23" s="8"/>
      <c r="B23" s="10"/>
      <c r="C23" s="12">
        <v>42626</v>
      </c>
      <c r="D23" s="17"/>
      <c r="E23" s="17"/>
      <c r="F23" s="18"/>
      <c r="G23" s="18"/>
      <c r="H23" s="146"/>
      <c r="I23" s="147"/>
      <c r="J23" s="15"/>
      <c r="K23" s="20"/>
      <c r="L23" s="21">
        <f t="shared" si="0"/>
        <v>0</v>
      </c>
    </row>
    <row r="24" spans="1:12" x14ac:dyDescent="0.25">
      <c r="A24" s="8"/>
      <c r="B24" s="10"/>
      <c r="C24" s="12">
        <v>42627</v>
      </c>
      <c r="D24" s="17"/>
      <c r="E24" s="17"/>
      <c r="F24" s="18"/>
      <c r="G24" s="18"/>
      <c r="H24" s="146"/>
      <c r="I24" s="147"/>
      <c r="J24" s="15"/>
      <c r="K24" s="15"/>
      <c r="L24" s="21">
        <f t="shared" si="0"/>
        <v>0</v>
      </c>
    </row>
    <row r="25" spans="1:12" x14ac:dyDescent="0.25">
      <c r="A25" s="8"/>
      <c r="B25" s="10"/>
      <c r="C25" s="12">
        <v>42628</v>
      </c>
      <c r="D25" s="17"/>
      <c r="E25" s="17"/>
      <c r="F25" s="18"/>
      <c r="G25" s="18"/>
      <c r="H25" s="146"/>
      <c r="I25" s="147"/>
      <c r="J25" s="15"/>
      <c r="K25" s="15"/>
      <c r="L25" s="21">
        <f>J25+K25</f>
        <v>0</v>
      </c>
    </row>
    <row r="26" spans="1:12" x14ac:dyDescent="0.25">
      <c r="A26" s="8"/>
      <c r="B26" s="10"/>
      <c r="C26" s="12">
        <v>42629</v>
      </c>
      <c r="D26" s="17"/>
      <c r="E26" s="17"/>
      <c r="F26" s="18"/>
      <c r="G26" s="18"/>
      <c r="H26" s="146"/>
      <c r="I26" s="147"/>
      <c r="J26" s="15"/>
      <c r="K26" s="15"/>
      <c r="L26" s="21">
        <f t="shared" si="0"/>
        <v>0</v>
      </c>
    </row>
    <row r="27" spans="1:12" x14ac:dyDescent="0.25">
      <c r="A27" s="8"/>
      <c r="B27" s="10" t="s">
        <v>12</v>
      </c>
      <c r="C27" s="12">
        <v>42630</v>
      </c>
      <c r="D27" s="17"/>
      <c r="E27" s="17"/>
      <c r="F27" s="18"/>
      <c r="G27" s="18"/>
      <c r="H27" s="146"/>
      <c r="I27" s="147"/>
      <c r="J27" s="15"/>
      <c r="K27" s="15"/>
      <c r="L27" s="21">
        <f t="shared" si="0"/>
        <v>0</v>
      </c>
    </row>
    <row r="28" spans="1:12" x14ac:dyDescent="0.25">
      <c r="A28" s="8"/>
      <c r="B28" s="10" t="s">
        <v>12</v>
      </c>
      <c r="C28" s="12">
        <v>42631</v>
      </c>
      <c r="D28" s="17"/>
      <c r="E28" s="17"/>
      <c r="F28" s="18"/>
      <c r="G28" s="18"/>
      <c r="H28" s="146"/>
      <c r="I28" s="147"/>
      <c r="J28" s="15"/>
      <c r="K28" s="15"/>
      <c r="L28" s="21">
        <f t="shared" si="0"/>
        <v>0</v>
      </c>
    </row>
    <row r="29" spans="1:12" x14ac:dyDescent="0.25">
      <c r="A29" s="8"/>
      <c r="B29" s="10"/>
      <c r="C29" s="12">
        <v>42632</v>
      </c>
      <c r="D29" s="17"/>
      <c r="E29" s="17"/>
      <c r="F29" s="18"/>
      <c r="G29" s="18"/>
      <c r="H29" s="146"/>
      <c r="I29" s="147"/>
      <c r="J29" s="15"/>
      <c r="K29" s="15"/>
      <c r="L29" s="21">
        <f t="shared" si="0"/>
        <v>0</v>
      </c>
    </row>
    <row r="30" spans="1:12" x14ac:dyDescent="0.25">
      <c r="A30" s="8"/>
      <c r="B30" s="10"/>
      <c r="C30" s="12">
        <v>42633</v>
      </c>
      <c r="D30" s="17"/>
      <c r="E30" s="17"/>
      <c r="F30" s="18"/>
      <c r="G30" s="18"/>
      <c r="H30" s="146"/>
      <c r="I30" s="147"/>
      <c r="J30" s="15"/>
      <c r="K30" s="15"/>
      <c r="L30" s="21">
        <f t="shared" si="0"/>
        <v>0</v>
      </c>
    </row>
    <row r="31" spans="1:12" x14ac:dyDescent="0.25">
      <c r="A31" s="8"/>
      <c r="B31" s="10"/>
      <c r="C31" s="12">
        <v>42634</v>
      </c>
      <c r="D31" s="17"/>
      <c r="E31" s="17"/>
      <c r="F31" s="18"/>
      <c r="G31" s="18"/>
      <c r="H31" s="146"/>
      <c r="I31" s="147"/>
      <c r="J31" s="15"/>
      <c r="K31" s="15"/>
      <c r="L31" s="21">
        <f t="shared" si="0"/>
        <v>0</v>
      </c>
    </row>
    <row r="32" spans="1:12" x14ac:dyDescent="0.25">
      <c r="A32" s="8"/>
      <c r="B32" s="10"/>
      <c r="C32" s="12">
        <v>42635</v>
      </c>
      <c r="D32" s="17"/>
      <c r="E32" s="17"/>
      <c r="F32" s="18"/>
      <c r="G32" s="18"/>
      <c r="H32" s="146"/>
      <c r="I32" s="147"/>
      <c r="J32" s="15"/>
      <c r="K32" s="15"/>
      <c r="L32" s="21">
        <f t="shared" si="0"/>
        <v>0</v>
      </c>
    </row>
    <row r="33" spans="1:12" x14ac:dyDescent="0.25">
      <c r="A33" s="8"/>
      <c r="B33" s="10"/>
      <c r="C33" s="12">
        <v>42636</v>
      </c>
      <c r="D33" s="17"/>
      <c r="E33" s="17"/>
      <c r="F33" s="18"/>
      <c r="G33" s="18"/>
      <c r="H33" s="146"/>
      <c r="I33" s="147"/>
      <c r="J33" s="15"/>
      <c r="K33" s="15"/>
      <c r="L33" s="21">
        <f t="shared" si="0"/>
        <v>0</v>
      </c>
    </row>
    <row r="34" spans="1:12" x14ac:dyDescent="0.25">
      <c r="A34" s="8"/>
      <c r="B34" s="10" t="s">
        <v>12</v>
      </c>
      <c r="C34" s="12">
        <v>42637</v>
      </c>
      <c r="D34" s="17"/>
      <c r="E34" s="17"/>
      <c r="F34" s="18"/>
      <c r="G34" s="18"/>
      <c r="H34" s="146"/>
      <c r="I34" s="147"/>
      <c r="J34" s="15"/>
      <c r="K34" s="15"/>
      <c r="L34" s="21">
        <f t="shared" si="0"/>
        <v>0</v>
      </c>
    </row>
    <row r="35" spans="1:12" x14ac:dyDescent="0.25">
      <c r="A35" s="8"/>
      <c r="B35" s="10" t="s">
        <v>12</v>
      </c>
      <c r="C35" s="12">
        <v>42638</v>
      </c>
      <c r="D35" s="17"/>
      <c r="E35" s="17"/>
      <c r="F35" s="18"/>
      <c r="G35" s="18"/>
      <c r="H35" s="146"/>
      <c r="I35" s="147"/>
      <c r="J35" s="15"/>
      <c r="K35" s="15"/>
      <c r="L35" s="21">
        <f>J35+K35</f>
        <v>0</v>
      </c>
    </row>
    <row r="36" spans="1:12" x14ac:dyDescent="0.25">
      <c r="A36" s="8"/>
      <c r="B36" s="10"/>
      <c r="C36" s="12">
        <v>42639</v>
      </c>
      <c r="D36" s="17"/>
      <c r="E36" s="17"/>
      <c r="F36" s="18"/>
      <c r="G36" s="18"/>
      <c r="H36" s="146"/>
      <c r="I36" s="147"/>
      <c r="J36" s="15"/>
      <c r="K36" s="15"/>
      <c r="L36" s="21">
        <f t="shared" si="0"/>
        <v>0</v>
      </c>
    </row>
    <row r="37" spans="1:12" x14ac:dyDescent="0.25">
      <c r="A37" s="8"/>
      <c r="B37" s="10"/>
      <c r="C37" s="12">
        <v>42640</v>
      </c>
      <c r="D37" s="17"/>
      <c r="E37" s="17"/>
      <c r="F37" s="18"/>
      <c r="G37" s="18"/>
      <c r="H37" s="146"/>
      <c r="I37" s="147"/>
      <c r="J37" s="15"/>
      <c r="K37" s="15"/>
      <c r="L37" s="21">
        <f t="shared" si="0"/>
        <v>0</v>
      </c>
    </row>
    <row r="38" spans="1:12" x14ac:dyDescent="0.25">
      <c r="A38" s="8"/>
      <c r="B38" s="10"/>
      <c r="C38" s="12">
        <v>42641</v>
      </c>
      <c r="D38" s="17"/>
      <c r="E38" s="17"/>
      <c r="F38" s="18"/>
      <c r="G38" s="18"/>
      <c r="H38" s="146"/>
      <c r="I38" s="147"/>
      <c r="J38" s="15"/>
      <c r="K38" s="15"/>
      <c r="L38" s="21">
        <f t="shared" si="0"/>
        <v>0</v>
      </c>
    </row>
    <row r="39" spans="1:12" x14ac:dyDescent="0.25">
      <c r="A39" s="8"/>
      <c r="B39" s="10"/>
      <c r="C39" s="12">
        <v>42642</v>
      </c>
      <c r="D39" s="17"/>
      <c r="E39" s="17"/>
      <c r="F39" s="18"/>
      <c r="G39" s="18"/>
      <c r="H39" s="146"/>
      <c r="I39" s="147"/>
      <c r="J39" s="15"/>
      <c r="K39" s="15"/>
      <c r="L39" s="21">
        <f t="shared" si="0"/>
        <v>0</v>
      </c>
    </row>
    <row r="40" spans="1:12" x14ac:dyDescent="0.25">
      <c r="A40" s="8"/>
      <c r="B40" s="10"/>
      <c r="C40" s="12">
        <v>42643</v>
      </c>
      <c r="D40" s="17"/>
      <c r="E40" s="17"/>
      <c r="F40" s="18"/>
      <c r="G40" s="18"/>
      <c r="H40" s="146"/>
      <c r="I40" s="147"/>
      <c r="J40" s="15"/>
      <c r="K40" s="15"/>
      <c r="L40" s="21">
        <f t="shared" si="0"/>
        <v>0</v>
      </c>
    </row>
    <row r="41" spans="1:12" x14ac:dyDescent="0.25">
      <c r="A41" s="8"/>
      <c r="B41" s="10"/>
      <c r="C41" s="12"/>
      <c r="D41" s="17"/>
      <c r="E41" s="17"/>
      <c r="F41" s="18"/>
      <c r="G41" s="18"/>
      <c r="H41" s="146"/>
      <c r="I41" s="147"/>
      <c r="J41" s="15"/>
      <c r="K41" s="15"/>
      <c r="L41" s="21">
        <f t="shared" si="0"/>
        <v>0</v>
      </c>
    </row>
    <row r="42" spans="1:12" ht="15.75" x14ac:dyDescent="0.3">
      <c r="A42" s="6"/>
      <c r="B42" s="139" t="s">
        <v>18</v>
      </c>
      <c r="C42" s="139"/>
      <c r="D42" s="148"/>
      <c r="E42" s="149"/>
      <c r="F42" s="149"/>
      <c r="G42" s="149"/>
      <c r="H42" s="149"/>
      <c r="I42" s="150"/>
      <c r="J42" s="13">
        <f>SUM(J11:J41)</f>
        <v>0</v>
      </c>
      <c r="K42" s="13">
        <f t="shared" ref="K42:L42" si="1">SUM(K11:K41)</f>
        <v>0</v>
      </c>
      <c r="L42" s="13">
        <f t="shared" si="1"/>
        <v>0</v>
      </c>
    </row>
    <row r="43" spans="1:12" ht="15.75" x14ac:dyDescent="0.3">
      <c r="A43" s="6"/>
      <c r="B43" s="139" t="s">
        <v>19</v>
      </c>
      <c r="C43" s="139"/>
      <c r="D43" s="143"/>
      <c r="E43" s="144"/>
      <c r="F43" s="144"/>
      <c r="G43" s="144"/>
      <c r="H43" s="144"/>
      <c r="I43" s="145"/>
      <c r="J43" s="14"/>
      <c r="K43" s="14"/>
      <c r="L43" s="7"/>
    </row>
    <row r="44" spans="1:12" ht="15.75" x14ac:dyDescent="0.3">
      <c r="A44" s="6"/>
      <c r="B44" s="139" t="s">
        <v>20</v>
      </c>
      <c r="C44" s="139"/>
      <c r="D44" s="140"/>
      <c r="E44" s="141"/>
      <c r="F44" s="141"/>
      <c r="G44" s="141"/>
      <c r="H44" s="141"/>
      <c r="I44" s="142"/>
      <c r="J44" s="16">
        <f>J42*J43</f>
        <v>0</v>
      </c>
      <c r="K44" s="16">
        <f>K42*K43</f>
        <v>0</v>
      </c>
      <c r="L44" s="16">
        <f>SUM(E44:J44)</f>
        <v>0</v>
      </c>
    </row>
    <row r="45" spans="1:12" ht="15.75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.75" x14ac:dyDescent="0.3">
      <c r="A46" s="6"/>
      <c r="B46" s="3"/>
      <c r="C46" s="3"/>
      <c r="D46" s="101"/>
      <c r="E46" s="101"/>
      <c r="F46" s="101"/>
      <c r="G46" s="101"/>
      <c r="H46" s="101"/>
      <c r="I46" s="101"/>
      <c r="J46" s="22"/>
      <c r="K46" s="102"/>
      <c r="L46" s="102"/>
    </row>
    <row r="47" spans="1:12" ht="15.75" x14ac:dyDescent="0.3">
      <c r="A47" s="6"/>
      <c r="B47" s="6"/>
      <c r="C47" s="6"/>
      <c r="D47" s="138" t="s">
        <v>21</v>
      </c>
      <c r="E47" s="138"/>
      <c r="F47" s="138"/>
      <c r="G47" s="103"/>
      <c r="H47" s="103"/>
      <c r="I47" s="103"/>
      <c r="J47" s="6"/>
      <c r="K47" s="5" t="s">
        <v>9</v>
      </c>
      <c r="L47" s="4"/>
    </row>
    <row r="48" spans="1:12" ht="15.75" x14ac:dyDescent="0.3">
      <c r="A48" s="6"/>
      <c r="B48" s="6"/>
      <c r="C48" s="6"/>
      <c r="D48" s="101"/>
      <c r="E48" s="101"/>
      <c r="F48" s="101"/>
      <c r="G48" s="101"/>
      <c r="H48" s="101"/>
      <c r="I48" s="101"/>
      <c r="J48" s="22"/>
      <c r="K48" s="102"/>
      <c r="L48" s="102"/>
    </row>
    <row r="49" spans="1:12" ht="15.75" x14ac:dyDescent="0.3">
      <c r="A49" s="6"/>
      <c r="B49" s="6"/>
      <c r="C49" s="6"/>
      <c r="D49" s="138" t="s">
        <v>26</v>
      </c>
      <c r="E49" s="138"/>
      <c r="F49" s="138"/>
      <c r="G49" s="103"/>
      <c r="H49" s="103"/>
      <c r="I49" s="103"/>
      <c r="J49" s="6"/>
      <c r="K49" s="5" t="s">
        <v>9</v>
      </c>
      <c r="L49" s="4"/>
    </row>
    <row r="50" spans="1:12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65">
    <mergeCell ref="B4:E4"/>
    <mergeCell ref="F1:L1"/>
    <mergeCell ref="B2:E2"/>
    <mergeCell ref="J2:L2"/>
    <mergeCell ref="B3:E3"/>
    <mergeCell ref="J3:L3"/>
    <mergeCell ref="B6:C6"/>
    <mergeCell ref="D6:F6"/>
    <mergeCell ref="J6:L6"/>
    <mergeCell ref="B7:C7"/>
    <mergeCell ref="D7:F7"/>
    <mergeCell ref="J7:L7"/>
    <mergeCell ref="B9:B10"/>
    <mergeCell ref="C9:C10"/>
    <mergeCell ref="D9:E9"/>
    <mergeCell ref="F9:G9"/>
    <mergeCell ref="H9:I10"/>
    <mergeCell ref="H20:I20"/>
    <mergeCell ref="K9:K10"/>
    <mergeCell ref="L9:L10"/>
    <mergeCell ref="H11:I11"/>
    <mergeCell ref="H12:I12"/>
    <mergeCell ref="H13:I13"/>
    <mergeCell ref="H14:I14"/>
    <mergeCell ref="J9:J10"/>
    <mergeCell ref="H15:I15"/>
    <mergeCell ref="H16:I16"/>
    <mergeCell ref="H17:I17"/>
    <mergeCell ref="H18:I18"/>
    <mergeCell ref="H19:I19"/>
    <mergeCell ref="H32:I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B43:C43"/>
    <mergeCell ref="D43:I43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B42:C42"/>
    <mergeCell ref="D42:I42"/>
    <mergeCell ref="D48:I48"/>
    <mergeCell ref="K48:L48"/>
    <mergeCell ref="D49:F49"/>
    <mergeCell ref="G49:I49"/>
    <mergeCell ref="B44:C44"/>
    <mergeCell ref="D44:I44"/>
    <mergeCell ref="D46:I46"/>
    <mergeCell ref="K46:L46"/>
    <mergeCell ref="D47:F47"/>
    <mergeCell ref="G47:I4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Control!$B$2:$B$8</xm:f>
          </x14:formula1>
          <xm:sqref>B11:B41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CFEF-9E31-3541-98CF-6A719C8D21BE}">
  <sheetPr>
    <tabColor rgb="FFFFFFFF"/>
  </sheetPr>
  <dimension ref="A1:B15"/>
  <sheetViews>
    <sheetView zoomScale="161" workbookViewId="0">
      <selection activeCell="F7" sqref="F7"/>
    </sheetView>
  </sheetViews>
  <sheetFormatPr defaultColWidth="10.85546875" defaultRowHeight="15" x14ac:dyDescent="0.25"/>
  <cols>
    <col min="1" max="1" width="12.85546875" customWidth="1"/>
    <col min="2" max="2" width="12.7109375" customWidth="1"/>
  </cols>
  <sheetData>
    <row r="1" spans="1:2" ht="15.75" x14ac:dyDescent="0.25">
      <c r="A1" s="69" t="s">
        <v>83</v>
      </c>
      <c r="B1" s="70"/>
    </row>
    <row r="2" spans="1:2" x14ac:dyDescent="0.25">
      <c r="A2" s="74" t="s">
        <v>61</v>
      </c>
      <c r="B2" s="74" t="s">
        <v>74</v>
      </c>
    </row>
    <row r="3" spans="1:2" x14ac:dyDescent="0.25">
      <c r="A3" s="71" t="s">
        <v>62</v>
      </c>
      <c r="B3" s="72">
        <v>21</v>
      </c>
    </row>
    <row r="4" spans="1:2" x14ac:dyDescent="0.25">
      <c r="A4" s="71" t="s">
        <v>63</v>
      </c>
      <c r="B4" s="73">
        <v>20</v>
      </c>
    </row>
    <row r="5" spans="1:2" x14ac:dyDescent="0.25">
      <c r="A5" s="71" t="s">
        <v>64</v>
      </c>
      <c r="B5" s="73">
        <v>21</v>
      </c>
    </row>
    <row r="6" spans="1:2" x14ac:dyDescent="0.25">
      <c r="A6" s="71" t="s">
        <v>65</v>
      </c>
      <c r="B6" s="73">
        <v>18</v>
      </c>
    </row>
    <row r="7" spans="1:2" x14ac:dyDescent="0.25">
      <c r="A7" s="71" t="s">
        <v>66</v>
      </c>
      <c r="B7" s="73">
        <v>20</v>
      </c>
    </row>
    <row r="8" spans="1:2" x14ac:dyDescent="0.25">
      <c r="A8" s="71" t="s">
        <v>67</v>
      </c>
      <c r="B8" s="73">
        <v>21</v>
      </c>
    </row>
    <row r="9" spans="1:2" x14ac:dyDescent="0.25">
      <c r="A9" s="71" t="s">
        <v>68</v>
      </c>
      <c r="B9" s="73">
        <v>21</v>
      </c>
    </row>
    <row r="10" spans="1:2" x14ac:dyDescent="0.25">
      <c r="A10" s="71" t="s">
        <v>69</v>
      </c>
      <c r="B10" s="73">
        <v>20</v>
      </c>
    </row>
    <row r="11" spans="1:2" x14ac:dyDescent="0.25">
      <c r="A11" s="71" t="s">
        <v>70</v>
      </c>
      <c r="B11" s="73">
        <v>22</v>
      </c>
    </row>
    <row r="12" spans="1:2" x14ac:dyDescent="0.25">
      <c r="A12" s="71" t="s">
        <v>71</v>
      </c>
      <c r="B12" s="73">
        <v>20</v>
      </c>
    </row>
    <row r="13" spans="1:2" x14ac:dyDescent="0.25">
      <c r="A13" s="71" t="s">
        <v>72</v>
      </c>
      <c r="B13" s="73">
        <v>21</v>
      </c>
    </row>
    <row r="14" spans="1:2" x14ac:dyDescent="0.25">
      <c r="A14" s="71" t="s">
        <v>73</v>
      </c>
      <c r="B14" s="73">
        <v>21</v>
      </c>
    </row>
    <row r="15" spans="1:2" x14ac:dyDescent="0.25">
      <c r="B15" s="75">
        <f>SUM(B3:B14)</f>
        <v>246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S25" sqref="S25"/>
    </sheetView>
  </sheetViews>
  <sheetFormatPr defaultColWidth="8.85546875" defaultRowHeight="15" x14ac:dyDescent="0.25"/>
  <sheetData>
    <row r="1" spans="1:2" x14ac:dyDescent="0.25">
      <c r="A1" s="1" t="s">
        <v>10</v>
      </c>
    </row>
    <row r="2" spans="1:2" x14ac:dyDescent="0.25">
      <c r="A2" s="1"/>
      <c r="B2" t="s">
        <v>14</v>
      </c>
    </row>
    <row r="3" spans="1:2" x14ac:dyDescent="0.25">
      <c r="A3" s="1"/>
      <c r="B3" t="s">
        <v>12</v>
      </c>
    </row>
    <row r="4" spans="1:2" x14ac:dyDescent="0.25">
      <c r="B4" t="s">
        <v>11</v>
      </c>
    </row>
    <row r="5" spans="1:2" x14ac:dyDescent="0.25">
      <c r="B5" t="s">
        <v>15</v>
      </c>
    </row>
    <row r="6" spans="1:2" x14ac:dyDescent="0.25">
      <c r="B6" t="s">
        <v>13</v>
      </c>
    </row>
    <row r="7" spans="1:2" x14ac:dyDescent="0.25">
      <c r="B7" t="s">
        <v>16</v>
      </c>
    </row>
    <row r="8" spans="1:2" x14ac:dyDescent="0.25">
      <c r="B8" t="s">
        <v>17</v>
      </c>
    </row>
  </sheetData>
  <pageMargins left="0.7" right="0.7" top="0.75" bottom="0.75" header="0.3" footer="0.3"/>
  <pageSetup paperSize="9" orientation="portrait" horizontalDpi="0" verticalDpi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C90A-3C69-284F-9308-E913B84D992C}">
  <dimension ref="B2:C11"/>
  <sheetViews>
    <sheetView workbookViewId="0"/>
  </sheetViews>
  <sheetFormatPr defaultColWidth="11.42578125" defaultRowHeight="15" x14ac:dyDescent="0.25"/>
  <sheetData>
    <row r="2" spans="2:3" x14ac:dyDescent="0.25">
      <c r="B2" s="78" t="s">
        <v>78</v>
      </c>
    </row>
    <row r="3" spans="2:3" x14ac:dyDescent="0.25">
      <c r="B3" s="79" t="s">
        <v>79</v>
      </c>
    </row>
    <row r="4" spans="2:3" x14ac:dyDescent="0.25">
      <c r="B4" s="79"/>
    </row>
    <row r="6" spans="2:3" x14ac:dyDescent="0.25">
      <c r="C6" t="s">
        <v>80</v>
      </c>
    </row>
    <row r="7" spans="2:3" x14ac:dyDescent="0.25">
      <c r="C7" s="80" t="s">
        <v>41</v>
      </c>
    </row>
    <row r="8" spans="2:3" x14ac:dyDescent="0.25">
      <c r="C8" s="80" t="s">
        <v>54</v>
      </c>
    </row>
    <row r="9" spans="2:3" x14ac:dyDescent="0.25">
      <c r="C9" s="80" t="s">
        <v>38</v>
      </c>
    </row>
    <row r="10" spans="2:3" x14ac:dyDescent="0.25">
      <c r="C10" t="s">
        <v>39</v>
      </c>
    </row>
    <row r="11" spans="2:3" x14ac:dyDescent="0.25">
      <c r="C11" t="s">
        <v>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5335-13FA-B343-BCBF-65227E7D1060}">
  <dimension ref="A2:B8"/>
  <sheetViews>
    <sheetView workbookViewId="0">
      <selection activeCell="I32" sqref="I32"/>
    </sheetView>
  </sheetViews>
  <sheetFormatPr defaultColWidth="11.42578125" defaultRowHeight="15" x14ac:dyDescent="0.25"/>
  <cols>
    <col min="1" max="1" width="14.7109375" bestFit="1" customWidth="1"/>
    <col min="2" max="2" width="12.85546875" bestFit="1" customWidth="1"/>
  </cols>
  <sheetData>
    <row r="2" spans="1:2" x14ac:dyDescent="0.25">
      <c r="A2" s="81" t="s">
        <v>80</v>
      </c>
      <c r="B2" t="s">
        <v>81</v>
      </c>
    </row>
    <row r="3" spans="1:2" x14ac:dyDescent="0.25">
      <c r="A3" t="s">
        <v>38</v>
      </c>
      <c r="B3">
        <v>1</v>
      </c>
    </row>
    <row r="4" spans="1:2" x14ac:dyDescent="0.25">
      <c r="A4" t="s">
        <v>41</v>
      </c>
      <c r="B4">
        <v>1</v>
      </c>
    </row>
    <row r="5" spans="1:2" x14ac:dyDescent="0.25">
      <c r="A5" t="s">
        <v>40</v>
      </c>
      <c r="B5">
        <v>1</v>
      </c>
    </row>
    <row r="6" spans="1:2" x14ac:dyDescent="0.25">
      <c r="A6" t="s">
        <v>39</v>
      </c>
      <c r="B6">
        <v>1</v>
      </c>
    </row>
    <row r="7" spans="1:2" x14ac:dyDescent="0.25">
      <c r="A7" t="s">
        <v>54</v>
      </c>
      <c r="B7">
        <v>1</v>
      </c>
    </row>
    <row r="8" spans="1:2" x14ac:dyDescent="0.25">
      <c r="A8" t="s">
        <v>82</v>
      </c>
      <c r="B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Charts</vt:lpstr>
      </vt:variant>
      <vt:variant>
        <vt:i4>2</vt:i4>
      </vt:variant>
    </vt:vector>
  </HeadingPairs>
  <TitlesOfParts>
    <vt:vector size="23" baseType="lpstr">
      <vt:lpstr>Example</vt:lpstr>
      <vt:lpstr>Jan 2026</vt:lpstr>
      <vt:lpstr>Feb 2026</vt:lpstr>
      <vt:lpstr>Mar 2026</vt:lpstr>
      <vt:lpstr>Apr 2026</vt:lpstr>
      <vt:lpstr>May 2026</vt:lpstr>
      <vt:lpstr>Jun 2026</vt:lpstr>
      <vt:lpstr>Jul 2026</vt:lpstr>
      <vt:lpstr>Aug 2026</vt:lpstr>
      <vt:lpstr>Sep 2026</vt:lpstr>
      <vt:lpstr>Oct 2026</vt:lpstr>
      <vt:lpstr>Nov 2026</vt:lpstr>
      <vt:lpstr>Dec 2026</vt:lpstr>
      <vt:lpstr>June 16</vt:lpstr>
      <vt:lpstr>July 16</vt:lpstr>
      <vt:lpstr>August 16</vt:lpstr>
      <vt:lpstr>September 16</vt:lpstr>
      <vt:lpstr>Working Day 2024</vt:lpstr>
      <vt:lpstr>Control</vt:lpstr>
      <vt:lpstr>Sheet1</vt:lpstr>
      <vt:lpstr>Sheet2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Nuttanicha Boonyawan</dc:creator>
  <cp:lastModifiedBy>Sittivut Sainamyen</cp:lastModifiedBy>
  <cp:lastPrinted>2024-07-30T06:11:57Z</cp:lastPrinted>
  <dcterms:created xsi:type="dcterms:W3CDTF">2016-05-31T10:23:20Z</dcterms:created>
  <dcterms:modified xsi:type="dcterms:W3CDTF">2026-01-07T06:54:51Z</dcterms:modified>
</cp:coreProperties>
</file>